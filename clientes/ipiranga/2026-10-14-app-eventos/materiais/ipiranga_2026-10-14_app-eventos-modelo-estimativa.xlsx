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Opcao A - Convencao" sheetId="3" state="visible" r:id="rId3"/>
    <sheet xmlns:r="http://schemas.openxmlformats.org/officeDocument/2006/relationships" name="Opcao B - Portal completo" sheetId="4" state="visible" r:id="rId4"/>
    <sheet xmlns:r="http://schemas.openxmlformats.org/officeDocument/2006/relationships" name="Referencia PWA" sheetId="5" state="visible" r:id="rId5"/>
    <sheet xmlns:r="http://schemas.openxmlformats.org/officeDocument/2006/relationships" name="Recorr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"/>
  </numFmts>
  <fonts count="7">
    <font>
      <name val="Calibri"/>
      <family val="2"/>
      <color theme="1"/>
      <sz val="11"/>
      <scheme val="minor"/>
    </font>
    <font>
      <name val="Poppins"/>
      <b val="1"/>
      <color rgb="0013141D"/>
      <sz val="14"/>
    </font>
    <font>
      <name val="Poppins"/>
      <b val="1"/>
      <color rgb="00FFFFFF"/>
      <sz val="10"/>
    </font>
    <font>
      <name val="Poppins"/>
      <b val="1"/>
      <sz val="10"/>
    </font>
    <font>
      <name val="Poppins"/>
      <sz val="10"/>
    </font>
    <font>
      <name val="Poppins"/>
      <i val="1"/>
      <color rgb="006B6E7A"/>
      <sz val="9"/>
    </font>
    <font>
      <name val="Poppi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3141D"/>
      </patternFill>
    </fill>
    <fill>
      <patternFill patternType="solid">
        <fgColor rgb="00F72585"/>
      </patternFill>
    </fill>
  </fills>
  <borders count="2">
    <border>
      <left/>
      <right/>
      <top/>
      <bottom/>
      <diagonal/>
    </border>
    <border>
      <bottom style="thin">
        <color rgb="00E3E4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1" fontId="6" fillId="3" borderId="0" pivotButton="0" quotePrefix="0" xfId="0"/>
    <xf numFmtId="164" fontId="6" fillId="3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5" customWidth="1" min="4" max="4"/>
    <col width="15" customWidth="1" min="5" max="5"/>
    <col width="70" customWidth="1" min="6" max="6"/>
  </cols>
  <sheetData>
    <row r="1">
      <c r="A1" s="1" t="inlineStr">
        <is>
          <t>Ipiranga · App Eventos · resumo da estimativa (14/10/2026)</t>
        </is>
      </c>
    </row>
    <row r="3">
      <c r="A3" s="2" t="inlineStr">
        <is>
          <t>Caminho</t>
        </is>
      </c>
      <c r="B3" s="2" t="inlineStr">
        <is>
          <t>Horas totais</t>
        </is>
      </c>
      <c r="C3" s="2" t="inlineStr">
        <is>
          <t>Investimento</t>
        </is>
      </c>
      <c r="D3" s="2" t="inlineStr">
        <is>
          <t>Preço sugerido</t>
        </is>
      </c>
      <c r="E3" s="2" t="inlineStr">
        <is>
          <t>Prazo (semanas)</t>
        </is>
      </c>
      <c r="F3" s="2" t="inlineStr">
        <is>
          <t>O que resolve</t>
        </is>
      </c>
    </row>
    <row r="4">
      <c r="A4" s="3" t="inlineStr">
        <is>
          <t>Referência · PWA do portal</t>
        </is>
      </c>
      <c r="B4" s="4">
        <f>'Referencia PWA'!C11</f>
        <v/>
      </c>
      <c r="C4" s="5">
        <f>'Referencia PWA'!D11</f>
        <v/>
      </c>
      <c r="D4" s="5">
        <f>ROUND(C4/1000,0)*1000</f>
        <v/>
      </c>
      <c r="E4" s="6" t="n">
        <v>3</v>
      </c>
      <c r="F4" s="7" t="inlineStr">
        <is>
          <t>Praticidade: ícone na tela, agenda e mapa offline, acesso direto ao evento. Sem push.</t>
        </is>
      </c>
    </row>
    <row r="5">
      <c r="A5" s="3" t="inlineStr">
        <is>
          <t>Opção A · App da Convenção</t>
        </is>
      </c>
      <c r="B5" s="4">
        <f>'Opcao A - Convencao'!C15</f>
        <v/>
      </c>
      <c r="C5" s="5">
        <f>'Opcao A - Convencao'!D15</f>
        <v/>
      </c>
      <c r="D5" s="5">
        <f>'Opcao A - Convencao'!D16</f>
        <v/>
      </c>
      <c r="E5" s="6">
        <f>'Opcao A - Convencao'!C17</f>
        <v/>
      </c>
      <c r="F5" s="7" t="inlineStr">
        <is>
          <t>Tudo do PWA mais push notification e experiência nativa, para um evento por vez.</t>
        </is>
      </c>
    </row>
    <row r="6">
      <c r="A6" s="3" t="inlineStr">
        <is>
          <t>Opção B · App Ipiranga Eventos</t>
        </is>
      </c>
      <c r="B6" s="4">
        <f>'Opcao B - Portal completo'!C15</f>
        <v/>
      </c>
      <c r="C6" s="5">
        <f>'Opcao B - Portal completo'!D15</f>
        <v/>
      </c>
      <c r="D6" s="5">
        <f>'Opcao B - Portal completo'!D16</f>
        <v/>
      </c>
      <c r="E6" s="6">
        <f>'Opcao B - Portal completo'!C17</f>
        <v/>
      </c>
      <c r="F6" s="7" t="inlineStr">
        <is>
          <t>App permanente para todos os eventos, inscrição completa pelo celular, push por evento e público.</t>
        </is>
      </c>
    </row>
    <row r="9" ht="30" customHeight="1">
      <c r="A9" s="8" t="inlineStr">
        <is>
          <t>Prazos contam a partir do kick-off e não incluem o tempo de abertura das contas de desenvolvedor da Ipiranga (1 a 3 semanas, em paralelo) nem a revisão das lojas na primeira publicação (2 a 7 dias).</t>
        </is>
      </c>
    </row>
  </sheetData>
  <mergeCells count="1"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70" customWidth="1" min="3" max="3"/>
  </cols>
  <sheetData>
    <row r="1">
      <c r="A1" s="1" t="inlineStr">
        <is>
          <t>Ipiranga · App Eventos · premissas de precificação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Observação</t>
        </is>
      </c>
    </row>
    <row r="4">
      <c r="A4" s="9" t="inlineStr">
        <is>
          <t>Valor hora (R$)</t>
        </is>
      </c>
      <c r="B4" s="10" t="n">
        <v>200</v>
      </c>
      <c r="C4" s="11" t="inlineStr">
        <is>
          <t>Mesma base do App de Execução (out/2026)</t>
        </is>
      </c>
    </row>
    <row r="5">
      <c r="A5" s="9" t="inlineStr">
        <is>
          <t>Reserva técnica (% da execução)</t>
        </is>
      </c>
      <c r="B5" s="12" t="n">
        <v>0.1</v>
      </c>
      <c r="C5" s="11" t="inlineStr">
        <is>
          <t>Imprevistos de integração e revisão das lojas</t>
        </is>
      </c>
    </row>
    <row r="6">
      <c r="A6" s="9" t="inlineStr">
        <is>
          <t>Direção (% da execução)</t>
        </is>
      </c>
      <c r="B6" s="12" t="n">
        <v>0.3</v>
      </c>
      <c r="C6" s="11" t="inlineStr">
        <is>
          <t>Bruno (produto/UX), Nóbrega (arquitetura), gestão, reuniões</t>
        </is>
      </c>
    </row>
    <row r="7">
      <c r="A7" s="9" t="inlineStr">
        <is>
          <t>Fator total sobre execução</t>
        </is>
      </c>
      <c r="B7" s="13">
        <f>1+B5+B6</f>
        <v/>
      </c>
      <c r="C7" s="11" t="inlineStr">
        <is>
          <t>Horas faturadas = execução × fator</t>
        </is>
      </c>
    </row>
    <row r="8">
      <c r="A8" s="9" t="inlineStr">
        <is>
          <t>Horas produtivas por semana (time)</t>
        </is>
      </c>
      <c r="B8" s="10" t="n">
        <v>60</v>
      </c>
      <c r="C8" s="11" t="inlineStr">
        <is>
          <t>2 devs mobile/back em paralelo + design, média</t>
        </is>
      </c>
    </row>
    <row r="10" ht="32" customHeight="1">
      <c r="A10" s="8" t="inlineStr">
        <is>
          <t>Como ler: cada aba de opção lista as horas de execução por frente. A reserva e a direção são calculadas sobre o total de execução; o preço é horas totais × valor hora.</t>
        </is>
      </c>
    </row>
  </sheetData>
  <mergeCells count="1"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18" customWidth="1" min="3" max="3"/>
    <col width="16" customWidth="1" min="4" max="4"/>
  </cols>
  <sheetData>
    <row r="1">
      <c r="A1" s="1" t="inlineStr">
        <is>
          <t>Opção A · App da Convenção (um evento, escopo reduzido)</t>
        </is>
      </c>
    </row>
    <row r="2">
      <c r="A2" s="11" t="inlineStr">
        <is>
          <t>App dedicado ao evento principal, reaproveitável para a próxima convenção com troca de conteúdo pelo portal.</t>
        </is>
      </c>
    </row>
    <row r="4">
      <c r="A4" s="2" t="inlineStr">
        <is>
          <t>Frente</t>
        </is>
      </c>
      <c r="B4" s="2" t="inlineStr">
        <is>
          <t>Entregas</t>
        </is>
      </c>
      <c r="C4" s="2" t="inlineStr">
        <is>
          <t>Horas de execução</t>
        </is>
      </c>
      <c r="D4" s="2" t="inlineStr">
        <is>
          <t>R$ execução</t>
        </is>
      </c>
    </row>
    <row r="5">
      <c r="A5" s="3" t="inlineStr">
        <is>
          <t>Descoberta e arquitetura</t>
        </is>
      </c>
      <c r="B5" s="7" t="inlineStr">
        <is>
          <t>Mapeamento da API que o portal precisa expor (login, evento, agenda, mapa, inscrição em arena), definição da stack híbrida (React Native/Expo), fluxo de dados offline, plano de push</t>
        </is>
      </c>
      <c r="C5" s="7" t="n">
        <v>24</v>
      </c>
      <c r="D5" s="5">
        <f>C5*Premissas!$B$4</f>
        <v/>
      </c>
    </row>
    <row r="6">
      <c r="A6" s="3" t="inlineStr">
        <is>
          <t>UX/UI mobile</t>
        </is>
      </c>
      <c r="B6" s="7" t="inlineStr">
        <is>
          <t>Design system mobile a partir da identidade do portal; cerca de 12 telas: onboarding/login, home do evento, agenda por dia com favoritos, detalhe de atividade, mapa do evento com pontos, inscrição em arena, perfil/credencial, central de avisos; protótipo navegável</t>
        </is>
      </c>
      <c r="C6" s="7" t="n">
        <v>60</v>
      </c>
      <c r="D6" s="5">
        <f>C6*Premissas!$B$4</f>
        <v/>
      </c>
    </row>
    <row r="7">
      <c r="A7" s="3" t="inlineStr">
        <is>
          <t>Backend e API no portal</t>
        </is>
      </c>
      <c r="B7" s="7" t="inlineStr">
        <is>
          <t>Autenticação por token, endpoints de evento, agenda, mapa, inscrição em arena, cadastro de dispositivo; painel de envio de push no admin do portal (texto, público, agendamento)</t>
        </is>
      </c>
      <c r="C7" s="7" t="n">
        <v>60</v>
      </c>
      <c r="D7" s="5">
        <f>C7*Premissas!$B$4</f>
        <v/>
      </c>
    </row>
    <row r="8">
      <c r="A8" s="3" t="inlineStr">
        <is>
          <t>App mobile (iOS e Android)</t>
        </is>
      </c>
      <c r="B8" s="7" t="inlineStr">
        <is>
          <t>Setup do projeto, login integrado, home, agenda com favoritos e lembretes, mapa com zoom e pontos de interesse, inscrição em arena, perfil, central de avisos, cache offline de agenda e mapa, recebimento de push, deep link por e-mail/QR</t>
        </is>
      </c>
      <c r="C8" s="7" t="n">
        <v>150</v>
      </c>
      <c r="D8" s="5">
        <f>C8*Premissas!$B$4</f>
        <v/>
      </c>
    </row>
    <row r="9">
      <c r="A9" s="3" t="inlineStr">
        <is>
          <t>Push notification</t>
        </is>
      </c>
      <c r="B9" s="7" t="inlineStr">
        <is>
          <t>Integração FCM/APNs, registro de dispositivos, segmentação por evento e perfil (revendedor/funcionário), histórico de envios</t>
        </is>
      </c>
      <c r="C9" s="7" t="n">
        <v>20</v>
      </c>
      <c r="D9" s="5">
        <f>C9*Premissas!$B$4</f>
        <v/>
      </c>
    </row>
    <row r="10">
      <c r="A10" s="3" t="inlineStr">
        <is>
          <t>QA e homologação</t>
        </is>
      </c>
      <c r="B10" s="7" t="inlineStr">
        <is>
          <t>Testes em dispositivos iOS e Android, cenários sem conexão, matriz de versões de sistema, correções; rodada de homologação com a Ipiranga via TestFlight e APK</t>
        </is>
      </c>
      <c r="C10" s="7" t="n">
        <v>36</v>
      </c>
      <c r="D10" s="5">
        <f>C10*Premissas!$B$4</f>
        <v/>
      </c>
    </row>
    <row r="11">
      <c r="A11" s="3" t="inlineStr">
        <is>
          <t>Publicação nas lojas</t>
        </is>
      </c>
      <c r="B11" s="7" t="inlineStr">
        <is>
          <t>Contas de desenvolvedor da Ipiranga, assets de loja, política de privacidade, formulários de dados, submissão e resposta às revisões Apple e Google</t>
        </is>
      </c>
      <c r="C11" s="7" t="n">
        <v>20</v>
      </c>
      <c r="D11" s="5">
        <f>C11*Premissas!$B$4</f>
        <v/>
      </c>
    </row>
    <row r="12">
      <c r="A12" s="9" t="inlineStr">
        <is>
          <t>Execução</t>
        </is>
      </c>
      <c r="C12" s="14">
        <f>SUM(C5:C11)</f>
        <v/>
      </c>
      <c r="D12" s="15">
        <f>C12*Premissas!$B$4</f>
        <v/>
      </c>
    </row>
    <row r="13">
      <c r="A13" s="10" t="inlineStr">
        <is>
          <t>Reserva técnica</t>
        </is>
      </c>
      <c r="C13" s="16">
        <f>C12*Premissas!$B$5</f>
        <v/>
      </c>
      <c r="D13" s="17">
        <f>C13*Premissas!$B$4</f>
        <v/>
      </c>
    </row>
    <row r="14">
      <c r="A14" s="10" t="inlineStr">
        <is>
          <t>Direção e gestão</t>
        </is>
      </c>
      <c r="C14" s="16">
        <f>C12*Premissas!$B$6</f>
        <v/>
      </c>
      <c r="D14" s="17">
        <f>C14*Premissas!$B$4</f>
        <v/>
      </c>
    </row>
    <row r="15">
      <c r="A15" s="18" t="inlineStr">
        <is>
          <t>TOTAL</t>
        </is>
      </c>
      <c r="B15" s="19" t="n"/>
      <c r="C15" s="20">
        <f>SUM(C12:C14)</f>
        <v/>
      </c>
      <c r="D15" s="21">
        <f>C15*Premissas!$B$4</f>
        <v/>
      </c>
    </row>
    <row r="16">
      <c r="A16" s="9" t="inlineStr">
        <is>
          <t>Preço sugerido (arredondado)</t>
        </is>
      </c>
      <c r="C16" s="16" t="n"/>
      <c r="D16" s="15">
        <f>ROUND(D15/1000,0)*1000</f>
        <v/>
      </c>
    </row>
    <row r="17">
      <c r="A17" s="9" t="inlineStr">
        <is>
          <t>Prazo estimado (semanas)</t>
        </is>
      </c>
      <c r="C17" s="14">
        <f>ROUNDUP(C15/Premissas!$B$8,0)</f>
        <v/>
      </c>
      <c r="D17" s="17" t="n"/>
    </row>
    <row r="18">
      <c r="A18" s="9" t="inlineStr">
        <is>
          <t>Pagamento sugerido</t>
        </is>
      </c>
      <c r="C18" s="16" t="n"/>
      <c r="D18" s="17" t="n"/>
    </row>
    <row r="19">
      <c r="A19" s="10" t="inlineStr">
        <is>
          <t>30% na assinatura</t>
        </is>
      </c>
      <c r="C19" s="16" t="n"/>
      <c r="D19" s="17">
        <f>D16*0.3</f>
        <v/>
      </c>
    </row>
    <row r="20">
      <c r="A20" s="10" t="inlineStr">
        <is>
          <t>30% na homologação (TestFlight / APK interno)</t>
        </is>
      </c>
      <c r="C20" s="16" t="n"/>
      <c r="D20" s="17">
        <f>D16*0.3</f>
        <v/>
      </c>
    </row>
    <row r="21">
      <c r="A21" s="10" t="inlineStr">
        <is>
          <t>40% na publicação nas lojas</t>
        </is>
      </c>
      <c r="C21" s="16" t="n"/>
      <c r="D21" s="17">
        <f>D16*0.4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18" customWidth="1" min="3" max="3"/>
    <col width="16" customWidth="1" min="4" max="4"/>
  </cols>
  <sheetData>
    <row r="1">
      <c r="A1" s="1" t="inlineStr">
        <is>
          <t>Opção B · App de todos os eventos do portal</t>
        </is>
      </c>
    </row>
    <row r="2">
      <c r="A2" s="11" t="inlineStr">
        <is>
          <t>Um app permanente da Ipiranga Eventos, que acompanha qualquer evento criado no portal.</t>
        </is>
      </c>
    </row>
    <row r="4">
      <c r="A4" s="2" t="inlineStr">
        <is>
          <t>Frente</t>
        </is>
      </c>
      <c r="B4" s="2" t="inlineStr">
        <is>
          <t>Entregas</t>
        </is>
      </c>
      <c r="C4" s="2" t="inlineStr">
        <is>
          <t>Horas de execução</t>
        </is>
      </c>
      <c r="D4" s="2" t="inlineStr">
        <is>
          <t>R$ execução</t>
        </is>
      </c>
    </row>
    <row r="5">
      <c r="A5" s="3" t="inlineStr">
        <is>
          <t>Descoberta e arquitetura</t>
        </is>
      </c>
      <c r="B5" s="7" t="inlineStr">
        <is>
          <t>Tudo da opção A, mais modelagem dos formulários dinâmicos de inscrição do portal (campos, regras, anexos, passagens e hotelaria quando houver), lista de eventos e perfis de acesso</t>
        </is>
      </c>
      <c r="C5" s="7" t="n">
        <v>32</v>
      </c>
      <c r="D5" s="5">
        <f>C5*Premissas!$B$4</f>
        <v/>
      </c>
    </row>
    <row r="6">
      <c r="A6" s="3" t="inlineStr">
        <is>
          <t>UX/UI mobile</t>
        </is>
      </c>
      <c r="B6" s="7" t="inlineStr">
        <is>
          <t>Cerca de 22 telas: além das telas da opção A, lista e filtro de eventos, detalhe de evento, fluxo completo de inscrição com formulários dinâmicos, meus eventos e histórico, documentos e materiais do evento, preferências de notificação</t>
        </is>
      </c>
      <c r="C6" s="7" t="n">
        <v>100</v>
      </c>
      <c r="D6" s="5">
        <f>C6*Premissas!$B$4</f>
        <v/>
      </c>
    </row>
    <row r="7">
      <c r="A7" s="3" t="inlineStr">
        <is>
          <t>Backend e API no portal</t>
        </is>
      </c>
      <c r="B7" s="7" t="inlineStr">
        <is>
          <t>API completa: catálogo de eventos, inscrições com formulários dinâmicos e validações, materiais e documentos, perfil e histórico, notificações por evento; painel de push por evento e por público</t>
        </is>
      </c>
      <c r="C7" s="7" t="n">
        <v>110</v>
      </c>
      <c r="D7" s="5">
        <f>C7*Premissas!$B$4</f>
        <v/>
      </c>
    </row>
    <row r="8">
      <c r="A8" s="3" t="inlineStr">
        <is>
          <t>App mobile (iOS e Android)</t>
        </is>
      </c>
      <c r="B8" s="7" t="inlineStr">
        <is>
          <t>Tudo da opção A para qualquer evento, renderizador de formulários dinâmicos, upload de documentos, meus eventos, materiais, preferências; compatível com a estrutura atual de eventos do portal sem retrabalho por evento</t>
        </is>
      </c>
      <c r="C8" s="7" t="n">
        <v>260</v>
      </c>
      <c r="D8" s="5">
        <f>C8*Premissas!$B$4</f>
        <v/>
      </c>
    </row>
    <row r="9">
      <c r="A9" s="3" t="inlineStr">
        <is>
          <t>Push notification</t>
        </is>
      </c>
      <c r="B9" s="7" t="inlineStr">
        <is>
          <t>Integração FCM/APNs, segmentação por evento, público e etapa da jornada (inscrito, confirmado, presente), agendamento e histórico</t>
        </is>
      </c>
      <c r="C9" s="7" t="n">
        <v>30</v>
      </c>
      <c r="D9" s="5">
        <f>C9*Premissas!$B$4</f>
        <v/>
      </c>
    </row>
    <row r="10">
      <c r="A10" s="3" t="inlineStr">
        <is>
          <t>QA e homologação</t>
        </is>
      </c>
      <c r="B10" s="7" t="inlineStr">
        <is>
          <t>Matriz maior de cenários (vários eventos, formulários distintos, offline), testes em dispositivos, rodadas de homologação com a Ipiranga</t>
        </is>
      </c>
      <c r="C10" s="7" t="n">
        <v>56</v>
      </c>
      <c r="D10" s="5">
        <f>C10*Premissas!$B$4</f>
        <v/>
      </c>
    </row>
    <row r="11">
      <c r="A11" s="3" t="inlineStr">
        <is>
          <t>Publicação nas lojas</t>
        </is>
      </c>
      <c r="B11" s="7" t="inlineStr">
        <is>
          <t>Igual à opção A</t>
        </is>
      </c>
      <c r="C11" s="7" t="n">
        <v>20</v>
      </c>
      <c r="D11" s="5">
        <f>C11*Premissas!$B$4</f>
        <v/>
      </c>
    </row>
    <row r="12">
      <c r="A12" s="9" t="inlineStr">
        <is>
          <t>Execução</t>
        </is>
      </c>
      <c r="C12" s="14">
        <f>SUM(C5:C11)</f>
        <v/>
      </c>
      <c r="D12" s="15">
        <f>C12*Premissas!$B$4</f>
        <v/>
      </c>
    </row>
    <row r="13">
      <c r="A13" s="10" t="inlineStr">
        <is>
          <t>Reserva técnica</t>
        </is>
      </c>
      <c r="C13" s="16">
        <f>C12*Premissas!$B$5</f>
        <v/>
      </c>
      <c r="D13" s="17">
        <f>C13*Premissas!$B$4</f>
        <v/>
      </c>
    </row>
    <row r="14">
      <c r="A14" s="10" t="inlineStr">
        <is>
          <t>Direção e gestão</t>
        </is>
      </c>
      <c r="C14" s="16">
        <f>C12*Premissas!$B$6</f>
        <v/>
      </c>
      <c r="D14" s="17">
        <f>C14*Premissas!$B$4</f>
        <v/>
      </c>
    </row>
    <row r="15">
      <c r="A15" s="18" t="inlineStr">
        <is>
          <t>TOTAL</t>
        </is>
      </c>
      <c r="B15" s="19" t="n"/>
      <c r="C15" s="20">
        <f>SUM(C12:C14)</f>
        <v/>
      </c>
      <c r="D15" s="21">
        <f>C15*Premissas!$B$4</f>
        <v/>
      </c>
    </row>
    <row r="16">
      <c r="A16" s="9" t="inlineStr">
        <is>
          <t>Preço sugerido (arredondado)</t>
        </is>
      </c>
      <c r="C16" s="16" t="n"/>
      <c r="D16" s="15">
        <f>ROUND(D15/1000,0)*1000</f>
        <v/>
      </c>
    </row>
    <row r="17">
      <c r="A17" s="9" t="inlineStr">
        <is>
          <t>Prazo estimado (semanas)</t>
        </is>
      </c>
      <c r="C17" s="14">
        <f>ROUNDUP(C15/Premissas!$B$8,0)</f>
        <v/>
      </c>
      <c r="D17" s="17" t="n"/>
    </row>
    <row r="18">
      <c r="A18" s="9" t="inlineStr">
        <is>
          <t>Pagamento sugerido</t>
        </is>
      </c>
      <c r="C18" s="16" t="n"/>
      <c r="D18" s="17" t="n"/>
    </row>
    <row r="19">
      <c r="A19" s="10" t="inlineStr">
        <is>
          <t>30% na assinatura</t>
        </is>
      </c>
      <c r="C19" s="16" t="n"/>
      <c r="D19" s="17">
        <f>D16*0.3</f>
        <v/>
      </c>
    </row>
    <row r="20">
      <c r="A20" s="10" t="inlineStr">
        <is>
          <t>30% na homologação (TestFlight / APK interno)</t>
        </is>
      </c>
      <c r="C20" s="16" t="n"/>
      <c r="D20" s="17">
        <f>D16*0.3</f>
        <v/>
      </c>
    </row>
    <row r="21">
      <c r="A21" s="10" t="inlineStr">
        <is>
          <t>40% na publicação nas lojas</t>
        </is>
      </c>
      <c r="C21" s="16" t="n"/>
      <c r="D21" s="17">
        <f>D16*0.4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8" customWidth="1" min="3" max="3"/>
    <col width="16" customWidth="1" min="4" max="4"/>
  </cols>
  <sheetData>
    <row r="1">
      <c r="A1" s="1" t="inlineStr">
        <is>
          <t>Referência · evolução PWA do portal (caminho em teste)</t>
        </is>
      </c>
    </row>
    <row r="2">
      <c r="A2" s="11" t="inlineStr">
        <is>
          <t>Não é a estimativa pedida; serve para comparar o custo de levar o portal até o limite do que o PWA permite.</t>
        </is>
      </c>
    </row>
    <row r="4">
      <c r="A4" s="2" t="inlineStr">
        <is>
          <t>Frente</t>
        </is>
      </c>
      <c r="B4" s="2" t="inlineStr">
        <is>
          <t>Entregas</t>
        </is>
      </c>
      <c r="C4" s="2" t="inlineStr">
        <is>
          <t>Horas de execução</t>
        </is>
      </c>
      <c r="D4" s="2" t="inlineStr">
        <is>
          <t>R$ execução</t>
        </is>
      </c>
    </row>
    <row r="5">
      <c r="A5" s="9" t="inlineStr">
        <is>
          <t>Manifesto e instalação</t>
        </is>
      </c>
      <c r="B5" s="22" t="inlineStr">
        <is>
          <t>Ícone na tela inicial, splash, modo standalone, orientação de instalação no iOS e Android dentro do fluxo de inscrição</t>
        </is>
      </c>
      <c r="C5" t="n">
        <v>12</v>
      </c>
      <c r="D5" s="17">
        <f>C5*Premissas!$B$4</f>
        <v/>
      </c>
    </row>
    <row r="6">
      <c r="A6" s="9" t="inlineStr">
        <is>
          <t>Offline</t>
        </is>
      </c>
      <c r="B6" s="22" t="inlineStr">
        <is>
          <t>Service worker com cache de agenda, mapa e credencial do evento; estados sem conexão</t>
        </is>
      </c>
      <c r="C6" t="n">
        <v>20</v>
      </c>
      <c r="D6" s="17">
        <f>C6*Premissas!$B$4</f>
        <v/>
      </c>
    </row>
    <row r="7">
      <c r="A7" s="9" t="inlineStr">
        <is>
          <t>Interface mobile do evento</t>
        </is>
      </c>
      <c r="B7" s="22" t="inlineStr">
        <is>
          <t>Revisão da experiência no celular: home do evento, agenda, mapa com zoom, atalhos; login que cai direto no evento</t>
        </is>
      </c>
      <c r="C7" t="n">
        <v>40</v>
      </c>
      <c r="D7" s="17">
        <f>C7*Premissas!$B$4</f>
        <v/>
      </c>
    </row>
    <row r="8">
      <c r="A8" s="9" t="inlineStr">
        <is>
          <t>Salvar no calendário</t>
        </is>
      </c>
      <c r="B8" s="22" t="inlineStr">
        <is>
          <t>Função fixa no portal e na mensagem de sucesso (já em andamento, fora desta conta)</t>
        </is>
      </c>
      <c r="C8" t="n">
        <v>0</v>
      </c>
      <c r="D8" s="17">
        <f>C8*Premissas!$B$4</f>
        <v/>
      </c>
    </row>
    <row r="9">
      <c r="A9" s="9" t="inlineStr">
        <is>
          <t>Piloto com a estrutura da Convenção 2025</t>
        </is>
      </c>
      <c r="B9" s="22" t="inlineStr">
        <is>
          <t>Levantar o evento em homologação, rodada de uso com a Ipiranga, ajustes</t>
        </is>
      </c>
      <c r="C9" t="n">
        <v>16</v>
      </c>
      <c r="D9" s="17">
        <f>C9*Premissas!$B$4</f>
        <v/>
      </c>
    </row>
    <row r="10">
      <c r="A10" s="9" t="inlineStr">
        <is>
          <t>Execução</t>
        </is>
      </c>
      <c r="C10" s="14">
        <f>SUM(C5:C9)</f>
        <v/>
      </c>
      <c r="D10" s="17">
        <f>C10*Premissas!$B$4</f>
        <v/>
      </c>
    </row>
    <row r="11">
      <c r="A11" s="9" t="inlineStr">
        <is>
          <t>Com reserva e direção</t>
        </is>
      </c>
      <c r="C11" s="14">
        <f>C10*Premissas!$B$7</f>
        <v/>
      </c>
      <c r="D11" s="15">
        <f>C11*Premissas!$B$4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0" customWidth="1" min="4" max="4"/>
    <col width="70" customWidth="1" min="5" max="5"/>
  </cols>
  <sheetData>
    <row r="1">
      <c r="A1" s="1" t="inlineStr">
        <is>
          <t>Custos recorrentes de um app nativo (fora do investimento de construção)</t>
        </is>
      </c>
    </row>
    <row r="3">
      <c r="A3" s="2" t="inlineStr">
        <is>
          <t>Item</t>
        </is>
      </c>
      <c r="B3" s="2" t="inlineStr">
        <is>
          <t>Quem paga</t>
        </is>
      </c>
      <c r="C3" s="2" t="inlineStr">
        <is>
          <t>Valor</t>
        </is>
      </c>
      <c r="D3" s="2" t="inlineStr">
        <is>
          <t>Periodicidade</t>
        </is>
      </c>
      <c r="E3" s="2" t="inlineStr">
        <is>
          <t>Observação</t>
        </is>
      </c>
    </row>
    <row r="4">
      <c r="A4" s="22" t="inlineStr">
        <is>
          <t>Apple Developer Program</t>
        </is>
      </c>
      <c r="B4" s="22" t="inlineStr">
        <is>
          <t>Ipiranga</t>
        </is>
      </c>
      <c r="C4" s="23" t="inlineStr">
        <is>
          <t>US$ 99</t>
        </is>
      </c>
      <c r="D4" s="22" t="inlineStr">
        <is>
          <t>anual</t>
        </is>
      </c>
      <c r="E4" s="22" t="inlineStr">
        <is>
          <t>Conta da empresa, exige D-U-N-S; prazo de aprovação da conta de 1 a 3 semanas</t>
        </is>
      </c>
    </row>
    <row r="5">
      <c r="A5" s="22" t="inlineStr">
        <is>
          <t>Google Play Console</t>
        </is>
      </c>
      <c r="B5" s="22" t="inlineStr">
        <is>
          <t>Ipiranga</t>
        </is>
      </c>
      <c r="C5" s="23" t="inlineStr">
        <is>
          <t>US$ 25</t>
        </is>
      </c>
      <c r="D5" s="22" t="inlineStr">
        <is>
          <t>única</t>
        </is>
      </c>
      <c r="E5" s="22" t="inlineStr">
        <is>
          <t>Conta da empresa; verificação de identidade</t>
        </is>
      </c>
    </row>
    <row r="6">
      <c r="A6" s="22" t="inlineStr">
        <is>
          <t>Push (Firebase Cloud Messaging)</t>
        </is>
      </c>
      <c r="B6" s="22" t="inlineStr">
        <is>
          <t>Ipiranga</t>
        </is>
      </c>
      <c r="C6" s="23" t="inlineStr">
        <is>
          <t>sem custo</t>
        </is>
      </c>
      <c r="D6" s="22" t="inlineStr">
        <is>
          <t>mensal</t>
        </is>
      </c>
      <c r="E6" s="22" t="inlineStr">
        <is>
          <t>Volume de eventos cabe no plano gratuito</t>
        </is>
      </c>
    </row>
    <row r="7">
      <c r="A7" s="22" t="inlineStr">
        <is>
          <t>Sustentação do app</t>
        </is>
      </c>
      <c r="B7" s="22" t="inlineStr">
        <is>
          <t>Fattoria</t>
        </is>
      </c>
      <c r="C7" s="23">
        <f>10*Premissas!$B$4</f>
        <v/>
      </c>
      <c r="D7" s="22" t="inlineStr">
        <is>
          <t>mensal, mínimo</t>
        </is>
      </c>
      <c r="E7" s="22" t="inlineStr">
        <is>
          <t>10 h/mês: atualizações de sistema operacional, bibliotecas, revisões de loja, pequenos ajustes. Picos de evento fora da base</t>
        </is>
      </c>
    </row>
    <row r="8">
      <c r="A8" s="22" t="inlineStr">
        <is>
          <t>Sustentação do app</t>
        </is>
      </c>
      <c r="B8" s="22" t="inlineStr">
        <is>
          <t>Fattoria</t>
        </is>
      </c>
      <c r="C8" s="23">
        <f>16*Premissas!$B$4</f>
        <v/>
      </c>
      <c r="D8" s="22" t="inlineStr">
        <is>
          <t>mensal, confortável</t>
        </is>
      </c>
      <c r="E8" s="22" t="inlineStr">
        <is>
          <t>16 h/mês cobre também evolução leve entre eventos</t>
        </is>
      </c>
    </row>
    <row r="9">
      <c r="A9" s="22" t="inlineStr">
        <is>
          <t>Hospedagem e API do portal</t>
        </is>
      </c>
      <c r="B9" s="22" t="inlineStr">
        <is>
          <t>Ipiranga</t>
        </is>
      </c>
      <c r="C9" s="23" t="inlineStr">
        <is>
          <t>incluída</t>
        </is>
      </c>
      <c r="D9" s="22" t="inlineStr">
        <is>
          <t>mensal</t>
        </is>
      </c>
      <c r="E9" s="22" t="inlineStr">
        <is>
          <t>Já coberta pela operação atual do portal; a API acrescenta carga marginal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2026-10-14T21:21:30Z</dcterms:created>
  <dcterms:modified xmlns:dcterms="http://purl.org/dc/terms/" xmlns:xsi="http://www.w3.org/2001/XMLSchema-instance" xsi:type="dcterms:W3CDTF">2026-10-14T21:21:30Z</dcterms:modified>
</cp:coreProperties>
</file>