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missas" sheetId="1" state="visible" r:id="rId3"/>
    <sheet name="Resumo" sheetId="2" state="visible" r:id="rId4"/>
    <sheet name="Entregas" sheetId="3" state="visible" r:id="rId5"/>
    <sheet name="Direcao" sheetId="4" state="visible" r:id="rId6"/>
    <sheet name="Acompanhamento" sheetId="5" state="visible" r:id="rId7"/>
    <sheet name="Opcional2027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<sst xmlns="http://schemas.openxmlformats.org/spreadsheetml/2006/main" count="155" uniqueCount="112">
  <si>
    <t xml:space="preserve">Ipiranga · App de Execução · Projeto de valor fechado, estimado em horas (uso interno)</t>
  </si>
  <si>
    <t xml:space="preserve">Uso interno da Fattoria. Células em azul com fundo amarelo são premissas para calibrar; o resto é calculado.</t>
  </si>
  <si>
    <t xml:space="preserve">Premissa</t>
  </si>
  <si>
    <t xml:space="preserve">Valor</t>
  </si>
  <si>
    <t xml:space="preserve">Observação</t>
  </si>
  <si>
    <t xml:space="preserve">Taxa interna de referência (R$/h)</t>
  </si>
  <si>
    <t xml:space="preserve">Mesma base da Sinaf. Forma o custo-base; não aparece para o cliente.</t>
  </si>
  <si>
    <t xml:space="preserve">Fator de valor da direção de produto</t>
  </si>
  <si>
    <t xml:space="preserve">Multiplica o custo-base da direção. 1,0 = vender a hora; acima disso, valor do julgamento sênior.</t>
  </si>
  <si>
    <t xml:space="preserve">Reserva de capacidade (% da execução)</t>
  </si>
  <si>
    <t xml:space="preserve">Demandas que surgem no caminho. Entra no preço e na capacidade em pontos.</t>
  </si>
  <si>
    <t xml:space="preserve">Gatilho de revisão (% de consumo)</t>
  </si>
  <si>
    <t xml:space="preserve">Acima disso, a entrega vai para o comitê antes de virar prejuízo.</t>
  </si>
  <si>
    <t xml:space="preserve">Limite de horas para tamanho P</t>
  </si>
  <si>
    <t xml:space="preserve">Até este valor, a entrega é P.</t>
  </si>
  <si>
    <t xml:space="preserve">Limite de horas para tamanho M</t>
  </si>
  <si>
    <t xml:space="preserve">Até este valor, M; acima, G.</t>
  </si>
  <si>
    <t xml:space="preserve">Pontos de uma entrega P</t>
  </si>
  <si>
    <t xml:space="preserve">Pontos de uma entrega M</t>
  </si>
  <si>
    <t xml:space="preserve">Pontos de uma entrega G</t>
  </si>
  <si>
    <t xml:space="preserve">Horas por semana de dedicação integral</t>
  </si>
  <si>
    <t xml:space="preserve">Base para converter horas em % de dedicação por papel.</t>
  </si>
  <si>
    <t xml:space="preserve">Semanas do ciclo 1 (19/10 a 13/11)</t>
  </si>
  <si>
    <t xml:space="preserve">Semanas do ciclo 2 (16/11 a 18/12)</t>
  </si>
  <si>
    <t xml:space="preserve">Proposta de 24/09: horas</t>
  </si>
  <si>
    <t xml:space="preserve">Referência de comparação.</t>
  </si>
  <si>
    <t xml:space="preserve">Proposta de 24/09: valor</t>
  </si>
  <si>
    <t xml:space="preserve">Resumo por ciclo</t>
  </si>
  <si>
    <t xml:space="preserve">O bloco "O que a Ipiranga vê" é o que vai para a proposta. O bloco interno fica com a Fattoria.</t>
  </si>
  <si>
    <t xml:space="preserve">Linha</t>
  </si>
  <si>
    <t xml:space="preserve">Ciclo 1</t>
  </si>
  <si>
    <t xml:space="preserve">Ciclo 2</t>
  </si>
  <si>
    <t xml:space="preserve">Total</t>
  </si>
  <si>
    <t xml:space="preserve">Interno · esforço</t>
  </si>
  <si>
    <t xml:space="preserve">Horas de execução</t>
  </si>
  <si>
    <t xml:space="preserve">Horas de reserva</t>
  </si>
  <si>
    <t xml:space="preserve">Horas de direção</t>
  </si>
  <si>
    <t xml:space="preserve">Horas internas totais</t>
  </si>
  <si>
    <t xml:space="preserve">Interno · dedicação por papel (% de uma pessoa em tempo integral)</t>
  </si>
  <si>
    <t xml:space="preserve">Bruno · liderança de produto</t>
  </si>
  <si>
    <t xml:space="preserve">Product designer</t>
  </si>
  <si>
    <t xml:space="preserve">Thiago Brito · ponte técnica</t>
  </si>
  <si>
    <t xml:space="preserve">Interno · preço</t>
  </si>
  <si>
    <t xml:space="preserve">Preço da execução (horas + reserva) × taxa</t>
  </si>
  <si>
    <t xml:space="preserve">Preço da direção (custo-base × fator)</t>
  </si>
  <si>
    <t xml:space="preserve">Valor do ciclo</t>
  </si>
  <si>
    <t xml:space="preserve">R$ por hora interna (efetivo)</t>
  </si>
  <si>
    <t xml:space="preserve">Comparação com a proposta de 24/09 (valor)</t>
  </si>
  <si>
    <t xml:space="preserve">Comparação com a proposta de 24/09 (horas)</t>
  </si>
  <si>
    <t xml:space="preserve">O que a Ipiranga vê</t>
  </si>
  <si>
    <t xml:space="preserve">Entregas do ciclo</t>
  </si>
  <si>
    <t xml:space="preserve">Capacidade do ciclo em pontos (entregas)</t>
  </si>
  <si>
    <t xml:space="preserve">Pontos de reserva</t>
  </si>
  <si>
    <t xml:space="preserve">Direção de produto (valor fixo)</t>
  </si>
  <si>
    <t xml:space="preserve">Capacidade de execução</t>
  </si>
  <si>
    <t xml:space="preserve">Capacidade de execução · entregas por ciclo</t>
  </si>
  <si>
    <t xml:space="preserve">Horas internas em azul. Tamanho e pontos saem das horas; o cliente vê entrega, tamanho e pontos, nunca horas.</t>
  </si>
  <si>
    <t xml:space="preserve">Ciclo</t>
  </si>
  <si>
    <t xml:space="preserve">Entrega</t>
  </si>
  <si>
    <t xml:space="preserve">Papel principal</t>
  </si>
  <si>
    <t xml:space="preserve">Horas internas</t>
  </si>
  <si>
    <t xml:space="preserve">Tamanho</t>
  </si>
  <si>
    <t xml:space="preserve">Pontos</t>
  </si>
  <si>
    <t xml:space="preserve">Custo-base (R$)</t>
  </si>
  <si>
    <t xml:space="preserve">Arquitetura da informação do hub e conceito da home</t>
  </si>
  <si>
    <t xml:space="preserve">Módulo 1 · fluxos e wireframes (Minha carteira, busca direta, acessos rápidos)</t>
  </si>
  <si>
    <t xml:space="preserve">Módulo 1 · interface</t>
  </si>
  <si>
    <t xml:space="preserve">UI kit inicial</t>
  </si>
  <si>
    <t xml:space="preserve">Módulo 1 · especificação e passagem para a Stringhini</t>
  </si>
  <si>
    <t xml:space="preserve">Linha de base dos indicadores, com a Stringhini</t>
  </si>
  <si>
    <t xml:space="preserve">Módulo 2 · fluxos e wireframes (checklist com progresso, status da auditoria)</t>
  </si>
  <si>
    <t xml:space="preserve">Módulo 2 · interface</t>
  </si>
  <si>
    <t xml:space="preserve">Evolução do UI kit</t>
  </si>
  <si>
    <t xml:space="preserve">Módulo 2 · especificação e passagem para a Stringhini</t>
  </si>
  <si>
    <t xml:space="preserve">Acompanhamento da implementação em homologação</t>
  </si>
  <si>
    <t xml:space="preserve">Primeira leitura dos indicadores</t>
  </si>
  <si>
    <t xml:space="preserve">Total da execução</t>
  </si>
  <si>
    <t xml:space="preserve">Direção de produto · valor fixo por ciclo</t>
  </si>
  <si>
    <t xml:space="preserve">Horas internas servem só de base. O preço é o custo-base vezes o fator de valor (Premissas).</t>
  </si>
  <si>
    <t xml:space="preserve">Atividade</t>
  </si>
  <si>
    <t xml:space="preserve">Papel</t>
  </si>
  <si>
    <t xml:space="preserve">Kickoff entre as três partes e validação do dossiê com a Ipiranga</t>
  </si>
  <si>
    <t xml:space="preserve">Sessão técnica com a Stringhini e recorte de dezembro</t>
  </si>
  <si>
    <t xml:space="preserve">Comitê de produto 1: roadmap priorizado e aprovação do recorte</t>
  </si>
  <si>
    <t xml:space="preserve">Alinhamentos quinzenais com a Ipiranga</t>
  </si>
  <si>
    <t xml:space="preserve">Conversa técnica semanal com a Stringhini</t>
  </si>
  <si>
    <t xml:space="preserve">Decisões, registro e preparação de pautas</t>
  </si>
  <si>
    <t xml:space="preserve">Comitê de produto 2: indicadores e roadmap de 2027</t>
  </si>
  <si>
    <t xml:space="preserve">Proposta de continuidade para 2027</t>
  </si>
  <si>
    <t xml:space="preserve">Total da direção</t>
  </si>
  <si>
    <t xml:space="preserve">Acompanhamento interno · previsto x realizado por entrega</t>
  </si>
  <si>
    <t xml:space="preserve">Preencher as horas realizadas (vindas do ClickUp). A linha fica vermelha quando passa do gatilho de revisão.</t>
  </si>
  <si>
    <t xml:space="preserve">Previsto (h)</t>
  </si>
  <si>
    <t xml:space="preserve">Realizado (h)</t>
  </si>
  <si>
    <t xml:space="preserve">Consumo</t>
  </si>
  <si>
    <t xml:space="preserve">Status</t>
  </si>
  <si>
    <t xml:space="preserve">Opcional · acompanhamento e evolução após o lançamento (mensalidade, a partir de janeiro de 2027)</t>
  </si>
  <si>
    <t xml:space="preserve">Time de análise das jornadas e ajustes pontuais. Horas internas em azul; atividades de análise e decisão levam o fator de valor.</t>
  </si>
  <si>
    <t xml:space="preserve">Atividade mensal</t>
  </si>
  <si>
    <t xml:space="preserve">Tipo</t>
  </si>
  <si>
    <t xml:space="preserve">Horas internas/mês</t>
  </si>
  <si>
    <t xml:space="preserve">Valor/mês (R$)</t>
  </si>
  <si>
    <t xml:space="preserve">Análise das jornadas com dados de uso e retorno do campo</t>
  </si>
  <si>
    <t xml:space="preserve">Direção</t>
  </si>
  <si>
    <t xml:space="preserve">Comitê mensal e priorização do backlog evolutivo</t>
  </si>
  <si>
    <t xml:space="preserve">Ajustes pontuais de design e evolução do UI kit</t>
  </si>
  <si>
    <t xml:space="preserve">Execução</t>
  </si>
  <si>
    <t xml:space="preserve">Ponte técnica e revisão em homologação</t>
  </si>
  <si>
    <t xml:space="preserve">Mensalidade</t>
  </si>
  <si>
    <t xml:space="preserve">Prazo mínimo sugerido (meses)</t>
  </si>
  <si>
    <t xml:space="preserve">Valor no prazo mínimo</t>
  </si>
  <si>
    <t xml:space="preserve">Horas não usadas no mês não acumulam; o excedente é tratado no comitê.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</si>
</sst>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&quot;R$ &quot;#,##0;&quot;(R$ &quot;#,##0\);\-"/>
    <numFmt numFmtId="166" formatCode="0.00\x"/>
    <numFmt numFmtId="167" formatCode="0%;\(0%\);\-"/>
    <numFmt numFmtId="168" formatCode="#,##0;\(#,##0\);\-"/>
    <numFmt numFmtId="169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6B6E7A"/>
      <name val="Cambria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0000FF"/>
      <name val="Calibri"/>
      <family val="0"/>
      <charset val="1"/>
    </font>
    <font>
      <sz val="11"/>
      <color rgb="FF6B6E7A"/>
      <name val="Cambria"/>
      <family val="0"/>
      <charset val="1"/>
    </font>
    <font>
      <b val="true"/>
      <sz val="13"/>
      <name val="Cambria"/>
      <family val="0"/>
      <charset val="1"/>
    </font>
    <font>
      <b val="true"/>
      <sz val="11"/>
      <color rgb="FFF72585"/>
      <name val="Calibri"/>
      <family val="0"/>
      <charset val="1"/>
    </font>
    <font>
      <sz val="11"/>
      <name val="Calibri"/>
      <family val="0"/>
      <charset val="1"/>
    </font>
    <font>
      <sz val="11"/>
      <color rgb="FF008000"/>
      <name val="Calibri"/>
      <family val="0"/>
      <charset val="1"/>
    </font>
    <font>
      <b val="true"/>
      <sz val="1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3141D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3F3F5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D6E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72585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3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6E4"/>
      <rgbColor rgb="FF3366FF"/>
      <rgbColor rgb="FF33CCCC"/>
      <rgbColor rgb="FF99CC00"/>
      <rgbColor rgb="FFFFCC00"/>
      <rgbColor rgb="FFFF9900"/>
      <rgbColor rgb="FFFF6600"/>
      <rgbColor rgb="FF6B6E7A"/>
      <rgbColor rgb="FF969696"/>
      <rgbColor rgb="FF003366"/>
      <rgbColor rgb="FF339966"/>
      <rgbColor rgb="FF1314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0" t="s">
        <v>5</v>
      </c>
      <c r="B5" s="4" t="n">
        <v>200</v>
      </c>
      <c r="C5" s="5" t="s">
        <v>6</v>
      </c>
    </row>
    <row r="6" customFormat="false" ht="15" hidden="false" customHeight="false" outlineLevel="0" collapsed="false">
      <c r="A6" s="0" t="s">
        <v>7</v>
      </c>
      <c r="B6" s="6" t="n">
        <v>1.3</v>
      </c>
      <c r="C6" s="5" t="s">
        <v>8</v>
      </c>
    </row>
    <row r="7" customFormat="false" ht="15" hidden="false" customHeight="false" outlineLevel="0" collapsed="false">
      <c r="A7" s="0" t="s">
        <v>9</v>
      </c>
      <c r="B7" s="7" t="n">
        <v>0.1</v>
      </c>
      <c r="C7" s="5" t="s">
        <v>10</v>
      </c>
    </row>
    <row r="8" customFormat="false" ht="15" hidden="false" customHeight="false" outlineLevel="0" collapsed="false">
      <c r="A8" s="0" t="s">
        <v>11</v>
      </c>
      <c r="B8" s="7" t="n">
        <v>1.1</v>
      </c>
      <c r="C8" s="5" t="s">
        <v>12</v>
      </c>
    </row>
    <row r="9" customFormat="false" ht="15" hidden="false" customHeight="false" outlineLevel="0" collapsed="false">
      <c r="A9" s="0" t="s">
        <v>13</v>
      </c>
      <c r="B9" s="8" t="n">
        <v>8</v>
      </c>
      <c r="C9" s="5" t="s">
        <v>14</v>
      </c>
    </row>
    <row r="10" customFormat="false" ht="15" hidden="false" customHeight="false" outlineLevel="0" collapsed="false">
      <c r="A10" s="0" t="s">
        <v>15</v>
      </c>
      <c r="B10" s="8" t="n">
        <v>24</v>
      </c>
      <c r="C10" s="5" t="s">
        <v>16</v>
      </c>
    </row>
    <row r="11" customFormat="false" ht="15" hidden="false" customHeight="false" outlineLevel="0" collapsed="false">
      <c r="A11" s="0" t="s">
        <v>17</v>
      </c>
      <c r="B11" s="8" t="n">
        <v>1</v>
      </c>
      <c r="C11" s="5"/>
    </row>
    <row r="12" customFormat="false" ht="15" hidden="false" customHeight="false" outlineLevel="0" collapsed="false">
      <c r="A12" s="0" t="s">
        <v>18</v>
      </c>
      <c r="B12" s="8" t="n">
        <v>3</v>
      </c>
      <c r="C12" s="5"/>
    </row>
    <row r="13" customFormat="false" ht="15" hidden="false" customHeight="false" outlineLevel="0" collapsed="false">
      <c r="A13" s="0" t="s">
        <v>19</v>
      </c>
      <c r="B13" s="8" t="n">
        <v>5</v>
      </c>
      <c r="C13" s="5"/>
    </row>
    <row r="14" customFormat="false" ht="15" hidden="false" customHeight="false" outlineLevel="0" collapsed="false">
      <c r="A14" s="0" t="s">
        <v>20</v>
      </c>
      <c r="B14" s="8" t="n">
        <v>40</v>
      </c>
      <c r="C14" s="5" t="s">
        <v>21</v>
      </c>
    </row>
    <row r="15" customFormat="false" ht="15" hidden="false" customHeight="false" outlineLevel="0" collapsed="false">
      <c r="A15" s="0" t="s">
        <v>22</v>
      </c>
      <c r="B15" s="8" t="n">
        <v>4</v>
      </c>
      <c r="C15" s="5"/>
    </row>
    <row r="16" customFormat="false" ht="15" hidden="false" customHeight="false" outlineLevel="0" collapsed="false">
      <c r="A16" s="0" t="s">
        <v>23</v>
      </c>
      <c r="B16" s="8" t="n">
        <v>5</v>
      </c>
      <c r="C16" s="5"/>
    </row>
    <row r="17" customFormat="false" ht="15" hidden="false" customHeight="false" outlineLevel="0" collapsed="false">
      <c r="A17" s="0" t="s">
        <v>24</v>
      </c>
      <c r="B17" s="8" t="n">
        <v>352</v>
      </c>
      <c r="C17" s="5" t="s">
        <v>25</v>
      </c>
    </row>
    <row r="18" customFormat="false" ht="15" hidden="false" customHeight="false" outlineLevel="0" collapsed="false">
      <c r="A18" s="0" t="s">
        <v>26</v>
      </c>
      <c r="B18" s="4" t="n">
        <v>70400</v>
      </c>
      <c r="C18" s="5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6"/>
  </cols>
  <sheetData>
    <row r="1" customFormat="false" ht="16.15" hidden="false" customHeight="false" outlineLevel="0" collapsed="false">
      <c r="A1" s="9" t="s">
        <v>27</v>
      </c>
    </row>
    <row r="2" customFormat="false" ht="15" hidden="false" customHeight="false" outlineLevel="0" collapsed="false">
      <c r="A2" s="2" t="s">
        <v>28</v>
      </c>
    </row>
    <row r="4" customFormat="false" ht="30" hidden="false" customHeight="true" outlineLevel="0" collapsed="false">
      <c r="A4" s="3" t="s">
        <v>29</v>
      </c>
      <c r="B4" s="3" t="s">
        <v>30</v>
      </c>
      <c r="C4" s="3" t="s">
        <v>31</v>
      </c>
      <c r="D4" s="3" t="s">
        <v>32</v>
      </c>
    </row>
    <row r="5" customFormat="false" ht="15" hidden="false" customHeight="false" outlineLevel="0" collapsed="false">
      <c r="A5" s="10" t="s">
        <v>33</v>
      </c>
      <c r="B5" s="11"/>
      <c r="C5" s="11"/>
      <c r="D5" s="11"/>
    </row>
    <row r="6" customFormat="false" ht="15" hidden="false" customHeight="false" outlineLevel="0" collapsed="false">
      <c r="A6" s="12" t="s">
        <v>34</v>
      </c>
      <c r="B6" s="13" t="n">
        <f aca="false">SUMIF(Entregas!$A$5:$A$16,1,Entregas!$D$5:$D$16)</f>
        <v>129</v>
      </c>
      <c r="C6" s="13" t="n">
        <f aca="false">SUMIF(Entregas!$A$5:$A$16,2,Entregas!$D$5:$D$16)</f>
        <v>105</v>
      </c>
      <c r="D6" s="14" t="n">
        <f aca="false">B6+C6</f>
        <v>234</v>
      </c>
    </row>
    <row r="7" customFormat="false" ht="15" hidden="false" customHeight="false" outlineLevel="0" collapsed="false">
      <c r="A7" s="12" t="s">
        <v>35</v>
      </c>
      <c r="B7" s="13" t="n">
        <f aca="false">B6*Premissas!$B$7</f>
        <v>12.9</v>
      </c>
      <c r="C7" s="13" t="n">
        <f aca="false">C6*Premissas!$B$7</f>
        <v>10.5</v>
      </c>
      <c r="D7" s="14" t="n">
        <f aca="false">B7+C7</f>
        <v>23.4</v>
      </c>
    </row>
    <row r="8" customFormat="false" ht="15" hidden="false" customHeight="false" outlineLevel="0" collapsed="false">
      <c r="A8" s="12" t="s">
        <v>36</v>
      </c>
      <c r="B8" s="13" t="n">
        <f aca="false">SUMIF(Direcao!$A$5:$A$16,1,Direcao!$D$5:$D$16)</f>
        <v>37</v>
      </c>
      <c r="C8" s="13" t="n">
        <f aca="false">SUMIF(Direcao!$A$5:$A$16,2,Direcao!$D$5:$D$16)</f>
        <v>35</v>
      </c>
      <c r="D8" s="14" t="n">
        <f aca="false">B8+C8</f>
        <v>72</v>
      </c>
    </row>
    <row r="9" customFormat="false" ht="15" hidden="false" customHeight="false" outlineLevel="0" collapsed="false">
      <c r="A9" s="15" t="s">
        <v>37</v>
      </c>
      <c r="B9" s="16" t="n">
        <f aca="false">B6+B7+B8</f>
        <v>178.9</v>
      </c>
      <c r="C9" s="16" t="n">
        <f aca="false">C6+C7+C8</f>
        <v>150.5</v>
      </c>
      <c r="D9" s="16" t="n">
        <f aca="false">B9+C9</f>
        <v>329.4</v>
      </c>
    </row>
    <row r="10" customFormat="false" ht="15" hidden="false" customHeight="false" outlineLevel="0" collapsed="false">
      <c r="A10" s="10" t="s">
        <v>38</v>
      </c>
      <c r="B10" s="11"/>
      <c r="C10" s="11"/>
      <c r="D10" s="11"/>
    </row>
    <row r="11" customFormat="false" ht="15" hidden="false" customHeight="false" outlineLevel="0" collapsed="false">
      <c r="A11" s="12" t="s">
        <v>39</v>
      </c>
      <c r="B11" s="17" t="n">
        <f aca="false">(SUMIFS(Entregas!$D$5:$D$16,Entregas!$A$5:$A$16,1,Entregas!$C$5:$C$16,"Bruno · liderança de produto")+SUMIFS(Direcao!$D$5:$D$16,Direcao!$A$5:$A$16,1,Direcao!$C$5:$C$16,"Bruno · liderança de produto"))/(Premissas!$B$14*Premissas!$B$15)</f>
        <v>0.15625</v>
      </c>
      <c r="C11" s="17" t="n">
        <f aca="false">(SUMIFS(Entregas!$D$5:$D$16,Entregas!$A$5:$A$16,2,Entregas!$C$5:$C$16,"Bruno · liderança de produto")+SUMIFS(Direcao!$D$5:$D$16,Direcao!$A$5:$A$16,2,Direcao!$C$5:$C$16,"Bruno · liderança de produto"))/(Premissas!$B$14*Premissas!$B$16)</f>
        <v>0.135</v>
      </c>
      <c r="D11" s="17" t="n">
        <f aca="false">(SUMIFS(Entregas!$D$5:$D$16,Entregas!$C$5:$C$16,"Bruno · liderança de produto")+SUMIFS(Direcao!$D$5:$D$16,Direcao!$C$5:$C$16,"Bruno · liderança de produto"))/(Premissas!$B$14*(Premissas!$B$15+Premissas!$B$16))</f>
        <v>0.144444444444444</v>
      </c>
    </row>
    <row r="12" customFormat="false" ht="15" hidden="false" customHeight="false" outlineLevel="0" collapsed="false">
      <c r="A12" s="12" t="s">
        <v>40</v>
      </c>
      <c r="B12" s="17" t="n">
        <f aca="false">(SUMIFS(Entregas!$D$5:$D$16,Entregas!$A$5:$A$16,1,Entregas!$C$5:$C$16,"Product designer")+SUMIFS(Direcao!$D$5:$D$16,Direcao!$A$5:$A$16,1,Direcao!$C$5:$C$16,"Product designer"))/(Premissas!$B$14*Premissas!$B$15)</f>
        <v>0.75625</v>
      </c>
      <c r="C12" s="17" t="n">
        <f aca="false">(SUMIFS(Entregas!$D$5:$D$16,Entregas!$A$5:$A$16,2,Entregas!$C$5:$C$16,"Product designer")+SUMIFS(Direcao!$D$5:$D$16,Direcao!$A$5:$A$16,2,Direcao!$C$5:$C$16,"Product designer"))/(Premissas!$B$14*Premissas!$B$16)</f>
        <v>0.49</v>
      </c>
      <c r="D12" s="17" t="n">
        <f aca="false">(SUMIFS(Entregas!$D$5:$D$16,Entregas!$C$5:$C$16,"Product designer")+SUMIFS(Direcao!$D$5:$D$16,Direcao!$C$5:$C$16,"Product designer"))/(Premissas!$B$14*(Premissas!$B$15+Premissas!$B$16))</f>
        <v>0.608333333333333</v>
      </c>
    </row>
    <row r="13" customFormat="false" ht="15" hidden="false" customHeight="false" outlineLevel="0" collapsed="false">
      <c r="A13" s="12" t="s">
        <v>41</v>
      </c>
      <c r="B13" s="17" t="n">
        <f aca="false">(SUMIFS(Entregas!$D$5:$D$16,Entregas!$A$5:$A$16,1,Entregas!$C$5:$C$16,"Thiago Brito · ponte técnica")+SUMIFS(Direcao!$D$5:$D$16,Direcao!$A$5:$A$16,1,Direcao!$C$5:$C$16,"Thiago Brito · ponte técnica"))/(Premissas!$B$14*Premissas!$B$15)</f>
        <v>0.125</v>
      </c>
      <c r="C13" s="17" t="n">
        <f aca="false">(SUMIFS(Entregas!$D$5:$D$16,Entregas!$A$5:$A$16,2,Entregas!$C$5:$C$16,"Thiago Brito · ponte técnica")+SUMIFS(Direcao!$D$5:$D$16,Direcao!$A$5:$A$16,2,Direcao!$C$5:$C$16,"Thiago Brito · ponte técnica"))/(Premissas!$B$14*Premissas!$B$16)</f>
        <v>0.075</v>
      </c>
      <c r="D13" s="17" t="n">
        <f aca="false">(SUMIFS(Entregas!$D$5:$D$16,Entregas!$C$5:$C$16,"Thiago Brito · ponte técnica")+SUMIFS(Direcao!$D$5:$D$16,Direcao!$C$5:$C$16,"Thiago Brito · ponte técnica"))/(Premissas!$B$14*(Premissas!$B$15+Premissas!$B$16))</f>
        <v>0.0972222222222222</v>
      </c>
    </row>
    <row r="14" customFormat="false" ht="15" hidden="false" customHeight="false" outlineLevel="0" collapsed="false">
      <c r="A14" s="10" t="s">
        <v>42</v>
      </c>
      <c r="B14" s="11"/>
      <c r="C14" s="11"/>
      <c r="D14" s="11"/>
    </row>
    <row r="15" customFormat="false" ht="15" hidden="false" customHeight="false" outlineLevel="0" collapsed="false">
      <c r="A15" s="12" t="s">
        <v>43</v>
      </c>
      <c r="B15" s="18" t="n">
        <f aca="false">(B6+B7)*Premissas!$B$5</f>
        <v>28380</v>
      </c>
      <c r="C15" s="18" t="n">
        <f aca="false">(C6+C7)*Premissas!$B$5</f>
        <v>23100</v>
      </c>
      <c r="D15" s="19" t="n">
        <f aca="false">B15+C15</f>
        <v>51480</v>
      </c>
    </row>
    <row r="16" customFormat="false" ht="15" hidden="false" customHeight="false" outlineLevel="0" collapsed="false">
      <c r="A16" s="12" t="s">
        <v>44</v>
      </c>
      <c r="B16" s="18" t="n">
        <f aca="false">B8*Premissas!$B$5*Premissas!$B$6</f>
        <v>9620</v>
      </c>
      <c r="C16" s="18" t="n">
        <f aca="false">C8*Premissas!$B$5*Premissas!$B$6</f>
        <v>9100</v>
      </c>
      <c r="D16" s="19" t="n">
        <f aca="false">B16+C16</f>
        <v>18720</v>
      </c>
    </row>
    <row r="17" customFormat="false" ht="15" hidden="false" customHeight="false" outlineLevel="0" collapsed="false">
      <c r="A17" s="15" t="s">
        <v>45</v>
      </c>
      <c r="B17" s="20" t="n">
        <f aca="false">B15+B16</f>
        <v>38000</v>
      </c>
      <c r="C17" s="20" t="n">
        <f aca="false">C15+C16</f>
        <v>32200</v>
      </c>
      <c r="D17" s="20" t="n">
        <f aca="false">B17+C17</f>
        <v>70200</v>
      </c>
    </row>
    <row r="18" customFormat="false" ht="15" hidden="false" customHeight="false" outlineLevel="0" collapsed="false">
      <c r="A18" s="12" t="s">
        <v>46</v>
      </c>
      <c r="B18" s="19" t="n">
        <f aca="false">IF(B9=0,0,B17/B9)</f>
        <v>212.409167132476</v>
      </c>
      <c r="C18" s="19" t="n">
        <f aca="false">IF(C9=0,0,C17/C9)</f>
        <v>213.953488372093</v>
      </c>
      <c r="D18" s="19" t="n">
        <f aca="false">IF(D9=0,0,D17/D9)</f>
        <v>213.114754098361</v>
      </c>
    </row>
    <row r="19" customFormat="false" ht="15" hidden="false" customHeight="false" outlineLevel="0" collapsed="false">
      <c r="A19" s="12" t="s">
        <v>47</v>
      </c>
      <c r="D19" s="18" t="n">
        <f aca="false">D17-Premissas!$B$18</f>
        <v>-200</v>
      </c>
    </row>
    <row r="20" customFormat="false" ht="15" hidden="false" customHeight="false" outlineLevel="0" collapsed="false">
      <c r="A20" s="12" t="s">
        <v>48</v>
      </c>
      <c r="D20" s="13" t="n">
        <f aca="false">D9-Premissas!$B$17</f>
        <v>-22.6</v>
      </c>
    </row>
    <row r="21" customFormat="false" ht="15" hidden="false" customHeight="false" outlineLevel="0" collapsed="false">
      <c r="A21" s="10" t="s">
        <v>49</v>
      </c>
      <c r="B21" s="11"/>
      <c r="C21" s="11"/>
      <c r="D21" s="11"/>
    </row>
    <row r="22" customFormat="false" ht="15" hidden="false" customHeight="false" outlineLevel="0" collapsed="false">
      <c r="A22" s="12" t="s">
        <v>50</v>
      </c>
      <c r="B22" s="13" t="n">
        <f aca="false">COUNTIF(Entregas!$A$5:$A$16,1)</f>
        <v>6</v>
      </c>
      <c r="C22" s="13" t="n">
        <f aca="false">COUNTIF(Entregas!$A$5:$A$16,2)</f>
        <v>6</v>
      </c>
      <c r="D22" s="14" t="n">
        <f aca="false">B22+C22</f>
        <v>12</v>
      </c>
    </row>
    <row r="23" customFormat="false" ht="15" hidden="false" customHeight="false" outlineLevel="0" collapsed="false">
      <c r="A23" s="12" t="s">
        <v>51</v>
      </c>
      <c r="B23" s="13" t="n">
        <f aca="false">SUMIF(Entregas!$A$5:$A$16,1,Entregas!$F$5:$F$16)</f>
        <v>20</v>
      </c>
      <c r="C23" s="13" t="n">
        <f aca="false">SUMIF(Entregas!$A$5:$A$16,2,Entregas!$F$5:$F$16)</f>
        <v>16</v>
      </c>
      <c r="D23" s="14" t="n">
        <f aca="false">B23+C23</f>
        <v>36</v>
      </c>
    </row>
    <row r="24" customFormat="false" ht="15" hidden="false" customHeight="false" outlineLevel="0" collapsed="false">
      <c r="A24" s="12" t="s">
        <v>52</v>
      </c>
      <c r="B24" s="13" t="n">
        <f aca="false">ROUND(B23*Premissas!$B$7,0)</f>
        <v>2</v>
      </c>
      <c r="C24" s="13" t="n">
        <f aca="false">ROUND(C23*Premissas!$B$7,0)</f>
        <v>2</v>
      </c>
      <c r="D24" s="14" t="n">
        <f aca="false">B24+C24</f>
        <v>4</v>
      </c>
    </row>
    <row r="25" customFormat="false" ht="15" hidden="false" customHeight="false" outlineLevel="0" collapsed="false">
      <c r="A25" s="12" t="s">
        <v>53</v>
      </c>
      <c r="B25" s="19" t="n">
        <f aca="false">B16</f>
        <v>9620</v>
      </c>
      <c r="C25" s="19" t="n">
        <f aca="false">C16</f>
        <v>9100</v>
      </c>
      <c r="D25" s="19" t="n">
        <f aca="false">B25+C25</f>
        <v>18720</v>
      </c>
    </row>
    <row r="26" customFormat="false" ht="15" hidden="false" customHeight="false" outlineLevel="0" collapsed="false">
      <c r="A26" s="12" t="s">
        <v>54</v>
      </c>
      <c r="B26" s="19" t="n">
        <f aca="false">B15</f>
        <v>28380</v>
      </c>
      <c r="C26" s="19" t="n">
        <f aca="false">C15</f>
        <v>23100</v>
      </c>
      <c r="D26" s="19" t="n">
        <f aca="false">B26+C26</f>
        <v>51480</v>
      </c>
    </row>
    <row r="27" customFormat="false" ht="15" hidden="false" customHeight="false" outlineLevel="0" collapsed="false">
      <c r="A27" s="15" t="s">
        <v>45</v>
      </c>
      <c r="B27" s="20" t="n">
        <f aca="false">B17</f>
        <v>38000</v>
      </c>
      <c r="C27" s="20" t="n">
        <f aca="false">C17</f>
        <v>32200</v>
      </c>
      <c r="D27" s="20" t="n">
        <f aca="false">B27+C27</f>
        <v>70200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0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6"/>
  </cols>
  <sheetData>
    <row r="1" customFormat="false" ht="16.15" hidden="false" customHeight="false" outlineLevel="0" collapsed="false">
      <c r="A1" s="9" t="s">
        <v>55</v>
      </c>
    </row>
    <row r="2" customFormat="false" ht="15" hidden="false" customHeight="false" outlineLevel="0" collapsed="false">
      <c r="A2" s="2" t="s">
        <v>56</v>
      </c>
    </row>
    <row r="4" customFormat="false" ht="30" hidden="false" customHeight="true" outlineLevel="0" collapsed="false">
      <c r="A4" s="3" t="s">
        <v>57</v>
      </c>
      <c r="B4" s="3" t="s">
        <v>58</v>
      </c>
      <c r="C4" s="3" t="s">
        <v>59</v>
      </c>
      <c r="D4" s="3" t="s">
        <v>60</v>
      </c>
      <c r="E4" s="3" t="s">
        <v>61</v>
      </c>
      <c r="F4" s="3" t="s">
        <v>62</v>
      </c>
      <c r="G4" s="3" t="s">
        <v>63</v>
      </c>
    </row>
    <row r="5" customFormat="false" ht="15" hidden="false" customHeight="false" outlineLevel="0" collapsed="false">
      <c r="A5" s="21" t="n">
        <v>1</v>
      </c>
      <c r="B5" s="22" t="s">
        <v>64</v>
      </c>
      <c r="C5" s="21" t="s">
        <v>40</v>
      </c>
      <c r="D5" s="8" t="n">
        <v>32</v>
      </c>
      <c r="E5" s="0" t="str">
        <f aca="false">IF(D5&lt;=Premissas!$B$9,"P",IF(D5&lt;=Premissas!$B$10,"M","G"))</f>
        <v>G</v>
      </c>
      <c r="F5" s="23" t="n">
        <f aca="false">IF(E5="P",Premissas!$B$11,IF(E5="M",Premissas!$B$12,Premissas!$B$13))</f>
        <v>5</v>
      </c>
      <c r="G5" s="24" t="n">
        <f aca="false">D5*Premissas!$B$5</f>
        <v>6400</v>
      </c>
    </row>
    <row r="6" customFormat="false" ht="15" hidden="false" customHeight="false" outlineLevel="0" collapsed="false">
      <c r="A6" s="21" t="n">
        <v>1</v>
      </c>
      <c r="B6" s="22" t="s">
        <v>65</v>
      </c>
      <c r="C6" s="21" t="s">
        <v>40</v>
      </c>
      <c r="D6" s="8" t="n">
        <v>27</v>
      </c>
      <c r="E6" s="0" t="str">
        <f aca="false">IF(D6&lt;=Premissas!$B$9,"P",IF(D6&lt;=Premissas!$B$10,"M","G"))</f>
        <v>G</v>
      </c>
      <c r="F6" s="23" t="n">
        <f aca="false">IF(E6="P",Premissas!$B$11,IF(E6="M",Premissas!$B$12,Premissas!$B$13))</f>
        <v>5</v>
      </c>
      <c r="G6" s="24" t="n">
        <f aca="false">D6*Premissas!$B$5</f>
        <v>5400</v>
      </c>
    </row>
    <row r="7" customFormat="false" ht="15" hidden="false" customHeight="false" outlineLevel="0" collapsed="false">
      <c r="A7" s="21" t="n">
        <v>1</v>
      </c>
      <c r="B7" s="22" t="s">
        <v>66</v>
      </c>
      <c r="C7" s="21" t="s">
        <v>40</v>
      </c>
      <c r="D7" s="8" t="n">
        <v>36</v>
      </c>
      <c r="E7" s="0" t="str">
        <f aca="false">IF(D7&lt;=Premissas!$B$9,"P",IF(D7&lt;=Premissas!$B$10,"M","G"))</f>
        <v>G</v>
      </c>
      <c r="F7" s="23" t="n">
        <f aca="false">IF(E7="P",Premissas!$B$11,IF(E7="M",Premissas!$B$12,Premissas!$B$13))</f>
        <v>5</v>
      </c>
      <c r="G7" s="24" t="n">
        <f aca="false">D7*Premissas!$B$5</f>
        <v>7200</v>
      </c>
    </row>
    <row r="8" customFormat="false" ht="15" hidden="false" customHeight="false" outlineLevel="0" collapsed="false">
      <c r="A8" s="21" t="n">
        <v>1</v>
      </c>
      <c r="B8" s="22" t="s">
        <v>67</v>
      </c>
      <c r="C8" s="21" t="s">
        <v>40</v>
      </c>
      <c r="D8" s="8" t="n">
        <v>18</v>
      </c>
      <c r="E8" s="0" t="str">
        <f aca="false">IF(D8&lt;=Premissas!$B$9,"P",IF(D8&lt;=Premissas!$B$10,"M","G"))</f>
        <v>M</v>
      </c>
      <c r="F8" s="23" t="n">
        <f aca="false">IF(E8="P",Premissas!$B$11,IF(E8="M",Premissas!$B$12,Premissas!$B$13))</f>
        <v>3</v>
      </c>
      <c r="G8" s="24" t="n">
        <f aca="false">D8*Premissas!$B$5</f>
        <v>3600</v>
      </c>
    </row>
    <row r="9" customFormat="false" ht="15" hidden="false" customHeight="false" outlineLevel="0" collapsed="false">
      <c r="A9" s="21" t="n">
        <v>1</v>
      </c>
      <c r="B9" s="22" t="s">
        <v>68</v>
      </c>
      <c r="C9" s="21" t="s">
        <v>40</v>
      </c>
      <c r="D9" s="8" t="n">
        <v>8</v>
      </c>
      <c r="E9" s="0" t="str">
        <f aca="false">IF(D9&lt;=Premissas!$B$9,"P",IF(D9&lt;=Premissas!$B$10,"M","G"))</f>
        <v>P</v>
      </c>
      <c r="F9" s="23" t="n">
        <f aca="false">IF(E9="P",Premissas!$B$11,IF(E9="M",Premissas!$B$12,Premissas!$B$13))</f>
        <v>1</v>
      </c>
      <c r="G9" s="24" t="n">
        <f aca="false">D9*Premissas!$B$5</f>
        <v>1600</v>
      </c>
    </row>
    <row r="10" customFormat="false" ht="15" hidden="false" customHeight="false" outlineLevel="0" collapsed="false">
      <c r="A10" s="21" t="n">
        <v>1</v>
      </c>
      <c r="B10" s="22" t="s">
        <v>69</v>
      </c>
      <c r="C10" s="21" t="s">
        <v>41</v>
      </c>
      <c r="D10" s="8" t="n">
        <v>8</v>
      </c>
      <c r="E10" s="0" t="str">
        <f aca="false">IF(D10&lt;=Premissas!$B$9,"P",IF(D10&lt;=Premissas!$B$10,"M","G"))</f>
        <v>P</v>
      </c>
      <c r="F10" s="23" t="n">
        <f aca="false">IF(E10="P",Premissas!$B$11,IF(E10="M",Premissas!$B$12,Premissas!$B$13))</f>
        <v>1</v>
      </c>
      <c r="G10" s="24" t="n">
        <f aca="false">D10*Premissas!$B$5</f>
        <v>1600</v>
      </c>
    </row>
    <row r="11" customFormat="false" ht="15" hidden="false" customHeight="false" outlineLevel="0" collapsed="false">
      <c r="A11" s="21" t="n">
        <v>2</v>
      </c>
      <c r="B11" s="22" t="s">
        <v>70</v>
      </c>
      <c r="C11" s="21" t="s">
        <v>40</v>
      </c>
      <c r="D11" s="8" t="n">
        <v>20</v>
      </c>
      <c r="E11" s="0" t="str">
        <f aca="false">IF(D11&lt;=Premissas!$B$9,"P",IF(D11&lt;=Premissas!$B$10,"M","G"))</f>
        <v>M</v>
      </c>
      <c r="F11" s="23" t="n">
        <f aca="false">IF(E11="P",Premissas!$B$11,IF(E11="M",Premissas!$B$12,Premissas!$B$13))</f>
        <v>3</v>
      </c>
      <c r="G11" s="24" t="n">
        <f aca="false">D11*Premissas!$B$5</f>
        <v>4000</v>
      </c>
    </row>
    <row r="12" customFormat="false" ht="15" hidden="false" customHeight="false" outlineLevel="0" collapsed="false">
      <c r="A12" s="21" t="n">
        <v>2</v>
      </c>
      <c r="B12" s="22" t="s">
        <v>71</v>
      </c>
      <c r="C12" s="21" t="s">
        <v>40</v>
      </c>
      <c r="D12" s="8" t="n">
        <v>34</v>
      </c>
      <c r="E12" s="0" t="str">
        <f aca="false">IF(D12&lt;=Premissas!$B$9,"P",IF(D12&lt;=Premissas!$B$10,"M","G"))</f>
        <v>G</v>
      </c>
      <c r="F12" s="23" t="n">
        <f aca="false">IF(E12="P",Premissas!$B$11,IF(E12="M",Premissas!$B$12,Premissas!$B$13))</f>
        <v>5</v>
      </c>
      <c r="G12" s="24" t="n">
        <f aca="false">D12*Premissas!$B$5</f>
        <v>6800</v>
      </c>
    </row>
    <row r="13" customFormat="false" ht="15" hidden="false" customHeight="false" outlineLevel="0" collapsed="false">
      <c r="A13" s="21" t="n">
        <v>2</v>
      </c>
      <c r="B13" s="22" t="s">
        <v>72</v>
      </c>
      <c r="C13" s="21" t="s">
        <v>40</v>
      </c>
      <c r="D13" s="8" t="n">
        <v>6</v>
      </c>
      <c r="E13" s="0" t="str">
        <f aca="false">IF(D13&lt;=Premissas!$B$9,"P",IF(D13&lt;=Premissas!$B$10,"M","G"))</f>
        <v>P</v>
      </c>
      <c r="F13" s="23" t="n">
        <f aca="false">IF(E13="P",Premissas!$B$11,IF(E13="M",Premissas!$B$12,Premissas!$B$13))</f>
        <v>1</v>
      </c>
      <c r="G13" s="24" t="n">
        <f aca="false">D13*Premissas!$B$5</f>
        <v>1200</v>
      </c>
    </row>
    <row r="14" customFormat="false" ht="15" hidden="false" customHeight="false" outlineLevel="0" collapsed="false">
      <c r="A14" s="21" t="n">
        <v>2</v>
      </c>
      <c r="B14" s="22" t="s">
        <v>73</v>
      </c>
      <c r="C14" s="21" t="s">
        <v>40</v>
      </c>
      <c r="D14" s="8" t="n">
        <v>8</v>
      </c>
      <c r="E14" s="0" t="str">
        <f aca="false">IF(D14&lt;=Premissas!$B$9,"P",IF(D14&lt;=Premissas!$B$10,"M","G"))</f>
        <v>P</v>
      </c>
      <c r="F14" s="23" t="n">
        <f aca="false">IF(E14="P",Premissas!$B$11,IF(E14="M",Premissas!$B$12,Premissas!$B$13))</f>
        <v>1</v>
      </c>
      <c r="G14" s="24" t="n">
        <f aca="false">D14*Premissas!$B$5</f>
        <v>1600</v>
      </c>
    </row>
    <row r="15" customFormat="false" ht="15" hidden="false" customHeight="false" outlineLevel="0" collapsed="false">
      <c r="A15" s="21" t="n">
        <v>2</v>
      </c>
      <c r="B15" s="22" t="s">
        <v>74</v>
      </c>
      <c r="C15" s="21" t="s">
        <v>40</v>
      </c>
      <c r="D15" s="8" t="n">
        <v>30</v>
      </c>
      <c r="E15" s="0" t="str">
        <f aca="false">IF(D15&lt;=Premissas!$B$9,"P",IF(D15&lt;=Premissas!$B$10,"M","G"))</f>
        <v>G</v>
      </c>
      <c r="F15" s="23" t="n">
        <f aca="false">IF(E15="P",Premissas!$B$11,IF(E15="M",Premissas!$B$12,Premissas!$B$13))</f>
        <v>5</v>
      </c>
      <c r="G15" s="24" t="n">
        <f aca="false">D15*Premissas!$B$5</f>
        <v>6000</v>
      </c>
    </row>
    <row r="16" customFormat="false" ht="15" hidden="false" customHeight="false" outlineLevel="0" collapsed="false">
      <c r="A16" s="21" t="n">
        <v>2</v>
      </c>
      <c r="B16" s="22" t="s">
        <v>75</v>
      </c>
      <c r="C16" s="21" t="s">
        <v>41</v>
      </c>
      <c r="D16" s="8" t="n">
        <v>7</v>
      </c>
      <c r="E16" s="0" t="str">
        <f aca="false">IF(D16&lt;=Premissas!$B$9,"P",IF(D16&lt;=Premissas!$B$10,"M","G"))</f>
        <v>P</v>
      </c>
      <c r="F16" s="23" t="n">
        <f aca="false">IF(E16="P",Premissas!$B$11,IF(E16="M",Premissas!$B$12,Premissas!$B$13))</f>
        <v>1</v>
      </c>
      <c r="G16" s="24" t="n">
        <f aca="false">D16*Premissas!$B$5</f>
        <v>1400</v>
      </c>
    </row>
    <row r="17" customFormat="false" ht="15" hidden="false" customHeight="false" outlineLevel="0" collapsed="false">
      <c r="B17" s="15" t="s">
        <v>76</v>
      </c>
      <c r="D17" s="16" t="n">
        <f aca="false">SUM(D5:D16)</f>
        <v>234</v>
      </c>
      <c r="F17" s="16" t="n">
        <f aca="false">SUM(F5:F16)</f>
        <v>36</v>
      </c>
      <c r="G17" s="20" t="n">
        <f aca="false">SUM(G5:G16)</f>
        <v>46800</v>
      </c>
    </row>
  </sheetData>
  <dataValidations count="1">
    <dataValidation allowBlank="false" errorStyle="stop" operator="between" showDropDown="false" showErrorMessage="false" showInputMessage="false" sqref="C5:C16" type="list">
      <formula1>"Bruno · liderança de produto,Product designer,Thiago Brito · ponte técnica"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16"/>
  </cols>
  <sheetData>
    <row r="1" customFormat="false" ht="16.15" hidden="false" customHeight="false" outlineLevel="0" collapsed="false">
      <c r="A1" s="9" t="s">
        <v>77</v>
      </c>
    </row>
    <row r="2" customFormat="false" ht="15" hidden="false" customHeight="false" outlineLevel="0" collapsed="false">
      <c r="A2" s="2" t="s">
        <v>78</v>
      </c>
    </row>
    <row r="4" customFormat="false" ht="30" hidden="false" customHeight="true" outlineLevel="0" collapsed="false">
      <c r="A4" s="3" t="s">
        <v>57</v>
      </c>
      <c r="B4" s="3" t="s">
        <v>79</v>
      </c>
      <c r="C4" s="3" t="s">
        <v>80</v>
      </c>
      <c r="D4" s="3" t="s">
        <v>60</v>
      </c>
      <c r="E4" s="3" t="s">
        <v>63</v>
      </c>
    </row>
    <row r="5" customFormat="false" ht="15" hidden="false" customHeight="false" outlineLevel="0" collapsed="false">
      <c r="A5" s="21" t="n">
        <v>1</v>
      </c>
      <c r="B5" s="22" t="s">
        <v>81</v>
      </c>
      <c r="C5" s="21" t="s">
        <v>39</v>
      </c>
      <c r="D5" s="8" t="n">
        <v>4</v>
      </c>
      <c r="E5" s="24" t="n">
        <f aca="false">D5*Premissas!$B$5</f>
        <v>800</v>
      </c>
    </row>
    <row r="6" customFormat="false" ht="15" hidden="false" customHeight="false" outlineLevel="0" collapsed="false">
      <c r="A6" s="21" t="n">
        <v>1</v>
      </c>
      <c r="B6" s="22" t="s">
        <v>82</v>
      </c>
      <c r="C6" s="21" t="s">
        <v>39</v>
      </c>
      <c r="D6" s="8" t="n">
        <v>4</v>
      </c>
      <c r="E6" s="24" t="n">
        <f aca="false">D6*Premissas!$B$5</f>
        <v>800</v>
      </c>
    </row>
    <row r="7" customFormat="false" ht="15" hidden="false" customHeight="false" outlineLevel="0" collapsed="false">
      <c r="A7" s="21" t="n">
        <v>1</v>
      </c>
      <c r="B7" s="22" t="s">
        <v>82</v>
      </c>
      <c r="C7" s="21" t="s">
        <v>41</v>
      </c>
      <c r="D7" s="8" t="n">
        <v>4</v>
      </c>
      <c r="E7" s="24" t="n">
        <f aca="false">D7*Premissas!$B$5</f>
        <v>800</v>
      </c>
    </row>
    <row r="8" customFormat="false" ht="15" hidden="false" customHeight="false" outlineLevel="0" collapsed="false">
      <c r="A8" s="21" t="n">
        <v>1</v>
      </c>
      <c r="B8" s="22" t="s">
        <v>83</v>
      </c>
      <c r="C8" s="21" t="s">
        <v>39</v>
      </c>
      <c r="D8" s="8" t="n">
        <v>8</v>
      </c>
      <c r="E8" s="24" t="n">
        <f aca="false">D8*Premissas!$B$5</f>
        <v>1600</v>
      </c>
    </row>
    <row r="9" customFormat="false" ht="15" hidden="false" customHeight="false" outlineLevel="0" collapsed="false">
      <c r="A9" s="21" t="n">
        <v>1</v>
      </c>
      <c r="B9" s="22" t="s">
        <v>84</v>
      </c>
      <c r="C9" s="21" t="s">
        <v>39</v>
      </c>
      <c r="D9" s="8" t="n">
        <v>4</v>
      </c>
      <c r="E9" s="24" t="n">
        <f aca="false">D9*Premissas!$B$5</f>
        <v>800</v>
      </c>
    </row>
    <row r="10" customFormat="false" ht="15" hidden="false" customHeight="false" outlineLevel="0" collapsed="false">
      <c r="A10" s="21" t="n">
        <v>1</v>
      </c>
      <c r="B10" s="22" t="s">
        <v>85</v>
      </c>
      <c r="C10" s="21" t="s">
        <v>41</v>
      </c>
      <c r="D10" s="8" t="n">
        <v>8</v>
      </c>
      <c r="E10" s="24" t="n">
        <f aca="false">D10*Premissas!$B$5</f>
        <v>1600</v>
      </c>
    </row>
    <row r="11" customFormat="false" ht="15" hidden="false" customHeight="false" outlineLevel="0" collapsed="false">
      <c r="A11" s="21" t="n">
        <v>1</v>
      </c>
      <c r="B11" s="22" t="s">
        <v>86</v>
      </c>
      <c r="C11" s="21" t="s">
        <v>39</v>
      </c>
      <c r="D11" s="8" t="n">
        <v>5</v>
      </c>
      <c r="E11" s="24" t="n">
        <f aca="false">D11*Premissas!$B$5</f>
        <v>1000</v>
      </c>
    </row>
    <row r="12" customFormat="false" ht="15" hidden="false" customHeight="false" outlineLevel="0" collapsed="false">
      <c r="A12" s="21" t="n">
        <v>2</v>
      </c>
      <c r="B12" s="22" t="s">
        <v>87</v>
      </c>
      <c r="C12" s="21" t="s">
        <v>39</v>
      </c>
      <c r="D12" s="8" t="n">
        <v>10</v>
      </c>
      <c r="E12" s="24" t="n">
        <f aca="false">D12*Premissas!$B$5</f>
        <v>2000</v>
      </c>
    </row>
    <row r="13" customFormat="false" ht="15" hidden="false" customHeight="false" outlineLevel="0" collapsed="false">
      <c r="A13" s="21" t="n">
        <v>2</v>
      </c>
      <c r="B13" s="22" t="s">
        <v>84</v>
      </c>
      <c r="C13" s="21" t="s">
        <v>39</v>
      </c>
      <c r="D13" s="8" t="n">
        <v>6</v>
      </c>
      <c r="E13" s="24" t="n">
        <f aca="false">D13*Premissas!$B$5</f>
        <v>1200</v>
      </c>
    </row>
    <row r="14" customFormat="false" ht="15" hidden="false" customHeight="false" outlineLevel="0" collapsed="false">
      <c r="A14" s="21" t="n">
        <v>2</v>
      </c>
      <c r="B14" s="22" t="s">
        <v>85</v>
      </c>
      <c r="C14" s="21" t="s">
        <v>41</v>
      </c>
      <c r="D14" s="8" t="n">
        <v>8</v>
      </c>
      <c r="E14" s="24" t="n">
        <f aca="false">D14*Premissas!$B$5</f>
        <v>1600</v>
      </c>
    </row>
    <row r="15" customFormat="false" ht="15" hidden="false" customHeight="false" outlineLevel="0" collapsed="false">
      <c r="A15" s="21" t="n">
        <v>2</v>
      </c>
      <c r="B15" s="22" t="s">
        <v>86</v>
      </c>
      <c r="C15" s="21" t="s">
        <v>39</v>
      </c>
      <c r="D15" s="8" t="n">
        <v>5</v>
      </c>
      <c r="E15" s="24" t="n">
        <f aca="false">D15*Premissas!$B$5</f>
        <v>1000</v>
      </c>
    </row>
    <row r="16" customFormat="false" ht="15" hidden="false" customHeight="false" outlineLevel="0" collapsed="false">
      <c r="A16" s="21" t="n">
        <v>2</v>
      </c>
      <c r="B16" s="22" t="s">
        <v>88</v>
      </c>
      <c r="C16" s="21" t="s">
        <v>39</v>
      </c>
      <c r="D16" s="8" t="n">
        <v>6</v>
      </c>
      <c r="E16" s="24" t="n">
        <f aca="false">D16*Premissas!$B$5</f>
        <v>1200</v>
      </c>
    </row>
    <row r="17" customFormat="false" ht="15" hidden="false" customHeight="false" outlineLevel="0" collapsed="false">
      <c r="B17" s="15" t="s">
        <v>89</v>
      </c>
      <c r="D17" s="16" t="n">
        <f aca="false">SUM(D5:D16)</f>
        <v>72</v>
      </c>
      <c r="E17" s="20" t="n">
        <f aca="false">SUM(E5:E16)</f>
        <v>14400</v>
      </c>
    </row>
  </sheetData>
  <dataValidations count="1">
    <dataValidation allowBlank="false" errorStyle="stop" operator="between" showDropDown="false" showErrorMessage="false" showInputMessage="false" sqref="C5:C16" type="list">
      <formula1>"Bruno · liderança de produto,Product designer,Thiago Brito · ponte técnica"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0"/>
    <col collapsed="false" customWidth="true" hidden="false" outlineLevel="0" max="4" min="3" style="0" width="13"/>
    <col collapsed="false" customWidth="true" hidden="false" outlineLevel="0" max="5" min="5" style="0" width="11"/>
    <col collapsed="false" customWidth="true" hidden="false" outlineLevel="0" max="6" min="6" style="0" width="18"/>
  </cols>
  <sheetData>
    <row r="1" customFormat="false" ht="16.15" hidden="false" customHeight="false" outlineLevel="0" collapsed="false">
      <c r="A1" s="9" t="s">
        <v>90</v>
      </c>
    </row>
    <row r="2" customFormat="false" ht="15" hidden="false" customHeight="false" outlineLevel="0" collapsed="false">
      <c r="A2" s="2" t="s">
        <v>91</v>
      </c>
    </row>
    <row r="4" customFormat="false" ht="30" hidden="false" customHeight="true" outlineLevel="0" collapsed="false">
      <c r="A4" s="3" t="s">
        <v>57</v>
      </c>
      <c r="B4" s="3" t="s">
        <v>58</v>
      </c>
      <c r="C4" s="3" t="s">
        <v>92</v>
      </c>
      <c r="D4" s="3" t="s">
        <v>93</v>
      </c>
      <c r="E4" s="3" t="s">
        <v>94</v>
      </c>
      <c r="F4" s="3" t="s">
        <v>95</v>
      </c>
    </row>
    <row r="5" customFormat="false" ht="15" hidden="false" customHeight="false" outlineLevel="0" collapsed="false">
      <c r="A5" s="25" t="n">
        <f aca="false">Entregas!A5</f>
        <v>1</v>
      </c>
      <c r="B5" s="25" t="str">
        <f aca="false">Entregas!B5</f>
        <v>Arquitetura da informação do hub e conceito da home</v>
      </c>
      <c r="C5" s="13" t="n">
        <f aca="false">Entregas!D5</f>
        <v>32</v>
      </c>
      <c r="D5" s="8"/>
      <c r="E5" s="26" t="n">
        <f aca="false">IF(C5=0,0,D5/C5)</f>
        <v>0</v>
      </c>
      <c r="F5" s="0" t="str">
        <f aca="false">IF(D5="","",IF(E5&gt;Premissas!$B$8,"Levar ao comitê",IF(E5&gt;1,"Atenção","No previsto")))</f>
        <v/>
      </c>
    </row>
    <row r="6" customFormat="false" ht="15" hidden="false" customHeight="false" outlineLevel="0" collapsed="false">
      <c r="A6" s="25" t="n">
        <f aca="false">Entregas!A6</f>
        <v>1</v>
      </c>
      <c r="B6" s="25" t="str">
        <f aca="false">Entregas!B6</f>
        <v>Módulo 1 · fluxos e wireframes (Minha carteira, busca direta, acessos rápidos)</v>
      </c>
      <c r="C6" s="13" t="n">
        <f aca="false">Entregas!D6</f>
        <v>27</v>
      </c>
      <c r="D6" s="8"/>
      <c r="E6" s="26" t="n">
        <f aca="false">IF(C6=0,0,D6/C6)</f>
        <v>0</v>
      </c>
      <c r="F6" s="0" t="str">
        <f aca="false">IF(D6="","",IF(E6&gt;Premissas!$B$8,"Levar ao comitê",IF(E6&gt;1,"Atenção","No previsto")))</f>
        <v/>
      </c>
    </row>
    <row r="7" customFormat="false" ht="15" hidden="false" customHeight="false" outlineLevel="0" collapsed="false">
      <c r="A7" s="25" t="n">
        <f aca="false">Entregas!A7</f>
        <v>1</v>
      </c>
      <c r="B7" s="25" t="str">
        <f aca="false">Entregas!B7</f>
        <v>Módulo 1 · interface</v>
      </c>
      <c r="C7" s="13" t="n">
        <f aca="false">Entregas!D7</f>
        <v>36</v>
      </c>
      <c r="D7" s="8"/>
      <c r="E7" s="26" t="n">
        <f aca="false">IF(C7=0,0,D7/C7)</f>
        <v>0</v>
      </c>
      <c r="F7" s="0" t="str">
        <f aca="false">IF(D7="","",IF(E7&gt;Premissas!$B$8,"Levar ao comitê",IF(E7&gt;1,"Atenção","No previsto")))</f>
        <v/>
      </c>
    </row>
    <row r="8" customFormat="false" ht="15" hidden="false" customHeight="false" outlineLevel="0" collapsed="false">
      <c r="A8" s="25" t="n">
        <f aca="false">Entregas!A8</f>
        <v>1</v>
      </c>
      <c r="B8" s="25" t="str">
        <f aca="false">Entregas!B8</f>
        <v>UI kit inicial</v>
      </c>
      <c r="C8" s="13" t="n">
        <f aca="false">Entregas!D8</f>
        <v>18</v>
      </c>
      <c r="D8" s="8"/>
      <c r="E8" s="26" t="n">
        <f aca="false">IF(C8=0,0,D8/C8)</f>
        <v>0</v>
      </c>
      <c r="F8" s="0" t="str">
        <f aca="false">IF(D8="","",IF(E8&gt;Premissas!$B$8,"Levar ao comitê",IF(E8&gt;1,"Atenção","No previsto")))</f>
        <v/>
      </c>
    </row>
    <row r="9" customFormat="false" ht="15" hidden="false" customHeight="false" outlineLevel="0" collapsed="false">
      <c r="A9" s="25" t="n">
        <f aca="false">Entregas!A9</f>
        <v>1</v>
      </c>
      <c r="B9" s="25" t="str">
        <f aca="false">Entregas!B9</f>
        <v>Módulo 1 · especificação e passagem para a Stringhini</v>
      </c>
      <c r="C9" s="13" t="n">
        <f aca="false">Entregas!D9</f>
        <v>8</v>
      </c>
      <c r="D9" s="8"/>
      <c r="E9" s="26" t="n">
        <f aca="false">IF(C9=0,0,D9/C9)</f>
        <v>0</v>
      </c>
      <c r="F9" s="0" t="str">
        <f aca="false">IF(D9="","",IF(E9&gt;Premissas!$B$8,"Levar ao comitê",IF(E9&gt;1,"Atenção","No previsto")))</f>
        <v/>
      </c>
    </row>
    <row r="10" customFormat="false" ht="15" hidden="false" customHeight="false" outlineLevel="0" collapsed="false">
      <c r="A10" s="25" t="n">
        <f aca="false">Entregas!A10</f>
        <v>1</v>
      </c>
      <c r="B10" s="25" t="str">
        <f aca="false">Entregas!B10</f>
        <v>Linha de base dos indicadores, com a Stringhini</v>
      </c>
      <c r="C10" s="13" t="n">
        <f aca="false">Entregas!D10</f>
        <v>8</v>
      </c>
      <c r="D10" s="8"/>
      <c r="E10" s="26" t="n">
        <f aca="false">IF(C10=0,0,D10/C10)</f>
        <v>0</v>
      </c>
      <c r="F10" s="0" t="str">
        <f aca="false">IF(D10="","",IF(E10&gt;Premissas!$B$8,"Levar ao comitê",IF(E10&gt;1,"Atenção","No previsto")))</f>
        <v/>
      </c>
    </row>
    <row r="11" customFormat="false" ht="15" hidden="false" customHeight="false" outlineLevel="0" collapsed="false">
      <c r="A11" s="25" t="n">
        <f aca="false">Entregas!A11</f>
        <v>2</v>
      </c>
      <c r="B11" s="25" t="str">
        <f aca="false">Entregas!B11</f>
        <v>Módulo 2 · fluxos e wireframes (checklist com progresso, status da auditoria)</v>
      </c>
      <c r="C11" s="13" t="n">
        <f aca="false">Entregas!D11</f>
        <v>20</v>
      </c>
      <c r="D11" s="8"/>
      <c r="E11" s="26" t="n">
        <f aca="false">IF(C11=0,0,D11/C11)</f>
        <v>0</v>
      </c>
      <c r="F11" s="0" t="str">
        <f aca="false">IF(D11="","",IF(E11&gt;Premissas!$B$8,"Levar ao comitê",IF(E11&gt;1,"Atenção","No previsto")))</f>
        <v/>
      </c>
    </row>
    <row r="12" customFormat="false" ht="15" hidden="false" customHeight="false" outlineLevel="0" collapsed="false">
      <c r="A12" s="25" t="n">
        <f aca="false">Entregas!A12</f>
        <v>2</v>
      </c>
      <c r="B12" s="25" t="str">
        <f aca="false">Entregas!B12</f>
        <v>Módulo 2 · interface</v>
      </c>
      <c r="C12" s="13" t="n">
        <f aca="false">Entregas!D12</f>
        <v>34</v>
      </c>
      <c r="D12" s="8"/>
      <c r="E12" s="26" t="n">
        <f aca="false">IF(C12=0,0,D12/C12)</f>
        <v>0</v>
      </c>
      <c r="F12" s="0" t="str">
        <f aca="false">IF(D12="","",IF(E12&gt;Premissas!$B$8,"Levar ao comitê",IF(E12&gt;1,"Atenção","No previsto")))</f>
        <v/>
      </c>
    </row>
    <row r="13" customFormat="false" ht="15" hidden="false" customHeight="false" outlineLevel="0" collapsed="false">
      <c r="A13" s="25" t="n">
        <f aca="false">Entregas!A13</f>
        <v>2</v>
      </c>
      <c r="B13" s="25" t="str">
        <f aca="false">Entregas!B13</f>
        <v>Evolução do UI kit</v>
      </c>
      <c r="C13" s="13" t="n">
        <f aca="false">Entregas!D13</f>
        <v>6</v>
      </c>
      <c r="D13" s="8"/>
      <c r="E13" s="26" t="n">
        <f aca="false">IF(C13=0,0,D13/C13)</f>
        <v>0</v>
      </c>
      <c r="F13" s="0" t="str">
        <f aca="false">IF(D13="","",IF(E13&gt;Premissas!$B$8,"Levar ao comitê",IF(E13&gt;1,"Atenção","No previsto")))</f>
        <v/>
      </c>
    </row>
    <row r="14" customFormat="false" ht="15" hidden="false" customHeight="false" outlineLevel="0" collapsed="false">
      <c r="A14" s="25" t="n">
        <f aca="false">Entregas!A14</f>
        <v>2</v>
      </c>
      <c r="B14" s="25" t="str">
        <f aca="false">Entregas!B14</f>
        <v>Módulo 2 · especificação e passagem para a Stringhini</v>
      </c>
      <c r="C14" s="13" t="n">
        <f aca="false">Entregas!D14</f>
        <v>8</v>
      </c>
      <c r="D14" s="8"/>
      <c r="E14" s="26" t="n">
        <f aca="false">IF(C14=0,0,D14/C14)</f>
        <v>0</v>
      </c>
      <c r="F14" s="0" t="str">
        <f aca="false">IF(D14="","",IF(E14&gt;Premissas!$B$8,"Levar ao comitê",IF(E14&gt;1,"Atenção","No previsto")))</f>
        <v/>
      </c>
    </row>
    <row r="15" customFormat="false" ht="15" hidden="false" customHeight="false" outlineLevel="0" collapsed="false">
      <c r="A15" s="25" t="n">
        <f aca="false">Entregas!A15</f>
        <v>2</v>
      </c>
      <c r="B15" s="25" t="str">
        <f aca="false">Entregas!B15</f>
        <v>Acompanhamento da implementação em homologação</v>
      </c>
      <c r="C15" s="13" t="n">
        <f aca="false">Entregas!D15</f>
        <v>30</v>
      </c>
      <c r="D15" s="8"/>
      <c r="E15" s="26" t="n">
        <f aca="false">IF(C15=0,0,D15/C15)</f>
        <v>0</v>
      </c>
      <c r="F15" s="0" t="str">
        <f aca="false">IF(D15="","",IF(E15&gt;Premissas!$B$8,"Levar ao comitê",IF(E15&gt;1,"Atenção","No previsto")))</f>
        <v/>
      </c>
    </row>
    <row r="16" customFormat="false" ht="15" hidden="false" customHeight="false" outlineLevel="0" collapsed="false">
      <c r="A16" s="25" t="n">
        <f aca="false">Entregas!A16</f>
        <v>2</v>
      </c>
      <c r="B16" s="25" t="str">
        <f aca="false">Entregas!B16</f>
        <v>Primeira leitura dos indicadores</v>
      </c>
      <c r="C16" s="13" t="n">
        <f aca="false">Entregas!D16</f>
        <v>7</v>
      </c>
      <c r="D16" s="8"/>
      <c r="E16" s="26" t="n">
        <f aca="false">IF(C16=0,0,D16/C16)</f>
        <v>0</v>
      </c>
      <c r="F16" s="0" t="str">
        <f aca="false">IF(D16="","",IF(E16&gt;Premissas!$B$8,"Levar ao comitê",IF(E16&gt;1,"Atenção","No previsto")))</f>
        <v/>
      </c>
    </row>
    <row r="17" customFormat="false" ht="15" hidden="false" customHeight="false" outlineLevel="0" collapsed="false">
      <c r="B17" s="15" t="s">
        <v>32</v>
      </c>
      <c r="C17" s="16" t="n">
        <f aca="false">SUM(C5:C16)</f>
        <v>234</v>
      </c>
      <c r="D17" s="16" t="n">
        <f aca="false">SUM(D5:D16)</f>
        <v>0</v>
      </c>
      <c r="E17" s="27" t="n">
        <f aca="false">IF(C17=0,0,D17/C17)</f>
        <v>0</v>
      </c>
    </row>
  </sheetData>
  <conditionalFormatting sqref="A5:F16">
    <cfRule type="expression" priority="2" aboveAverage="0" equalAverage="0" bottom="0" percent="0" rank="0" text="" dxfId="0">
      <formula>$E5&gt;Premissas!$B$8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6"/>
  </cols>
  <sheetData>
    <row r="1" customFormat="false" ht="16.15" hidden="false" customHeight="false" outlineLevel="0" collapsed="false">
      <c r="A1" s="9" t="s">
        <v>96</v>
      </c>
    </row>
    <row r="2" customFormat="false" ht="15" hidden="false" customHeight="false" outlineLevel="0" collapsed="false">
      <c r="A2" s="2" t="s">
        <v>97</v>
      </c>
    </row>
    <row r="4" customFormat="false" ht="30" hidden="false" customHeight="true" outlineLevel="0" collapsed="false">
      <c r="A4" s="3" t="s">
        <v>98</v>
      </c>
      <c r="B4" s="3" t="s">
        <v>80</v>
      </c>
      <c r="C4" s="3" t="s">
        <v>99</v>
      </c>
      <c r="D4" s="3" t="s">
        <v>100</v>
      </c>
      <c r="E4" s="3" t="s">
        <v>101</v>
      </c>
    </row>
    <row r="5" customFormat="false" ht="15" hidden="false" customHeight="false" outlineLevel="0" collapsed="false">
      <c r="A5" s="22" t="s">
        <v>102</v>
      </c>
      <c r="B5" s="21" t="s">
        <v>39</v>
      </c>
      <c r="C5" s="21" t="s">
        <v>103</v>
      </c>
      <c r="D5" s="8" t="n">
        <v>16</v>
      </c>
      <c r="E5" s="24" t="n">
        <f aca="false">D5*Premissas!$B$5*IF(C5="Direção",Premissas!$B$6,1)</f>
        <v>4160</v>
      </c>
    </row>
    <row r="6" customFormat="false" ht="15" hidden="false" customHeight="false" outlineLevel="0" collapsed="false">
      <c r="A6" s="22" t="s">
        <v>104</v>
      </c>
      <c r="B6" s="21" t="s">
        <v>39</v>
      </c>
      <c r="C6" s="21" t="s">
        <v>103</v>
      </c>
      <c r="D6" s="8" t="n">
        <v>6</v>
      </c>
      <c r="E6" s="24" t="n">
        <f aca="false">D6*Premissas!$B$5*IF(C6="Direção",Premissas!$B$6,1)</f>
        <v>1560</v>
      </c>
    </row>
    <row r="7" customFormat="false" ht="15" hidden="false" customHeight="false" outlineLevel="0" collapsed="false">
      <c r="A7" s="22" t="s">
        <v>105</v>
      </c>
      <c r="B7" s="21" t="s">
        <v>40</v>
      </c>
      <c r="C7" s="21" t="s">
        <v>106</v>
      </c>
      <c r="D7" s="8" t="n">
        <v>32</v>
      </c>
      <c r="E7" s="24" t="n">
        <f aca="false">D7*Premissas!$B$5*IF(C7="Direção",Premissas!$B$6,1)</f>
        <v>6400</v>
      </c>
    </row>
    <row r="8" customFormat="false" ht="15" hidden="false" customHeight="false" outlineLevel="0" collapsed="false">
      <c r="A8" s="22" t="s">
        <v>107</v>
      </c>
      <c r="B8" s="21" t="s">
        <v>41</v>
      </c>
      <c r="C8" s="21" t="s">
        <v>106</v>
      </c>
      <c r="D8" s="8" t="n">
        <v>6</v>
      </c>
      <c r="E8" s="24" t="n">
        <f aca="false">D8*Premissas!$B$5*IF(C8="Direção",Premissas!$B$6,1)</f>
        <v>1200</v>
      </c>
    </row>
    <row r="9" customFormat="false" ht="15" hidden="false" customHeight="false" outlineLevel="0" collapsed="false">
      <c r="A9" s="15" t="s">
        <v>108</v>
      </c>
      <c r="D9" s="16" t="n">
        <f aca="false">SUM(D5:D8)</f>
        <v>60</v>
      </c>
      <c r="E9" s="20" t="n">
        <f aca="false">SUM(E5:E8)</f>
        <v>13320</v>
      </c>
    </row>
    <row r="11" customFormat="false" ht="15" hidden="false" customHeight="false" outlineLevel="0" collapsed="false">
      <c r="A11" s="0" t="s">
        <v>109</v>
      </c>
      <c r="D11" s="28" t="n">
        <v>3</v>
      </c>
    </row>
    <row r="12" customFormat="false" ht="15" hidden="false" customHeight="false" outlineLevel="0" collapsed="false">
      <c r="A12" s="15" t="s">
        <v>110</v>
      </c>
      <c r="E12" s="20" t="n">
        <f aca="false">E9*D11</f>
        <v>39960</v>
      </c>
    </row>
    <row r="13" customFormat="false" ht="15" hidden="false" customHeight="false" outlineLevel="0" collapsed="false">
      <c r="A13" s="2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2026-10-13T15:19:25Z</dcterms:created>
  <dc:creator>openpyxl</dc:creator>
  <dc:description/>
  <dc:language>en-US</dc:language>
  <cp:lastModifiedBy/>
  <dcterms:modified xsi:type="dcterms:W3CDTF">2026-10-13T15:19:25Z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